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tcscomprod-my.sharepoint.com/personal/2416179_tcs_com/Documents/Desktop/Project/Ai Seminar Audit Project/"/>
    </mc:Choice>
  </mc:AlternateContent>
  <xr:revisionPtr revIDLastSave="284" documentId="8_{9B157274-3BF3-458A-92BB-E9EABD713A99}" xr6:coauthVersionLast="47" xr6:coauthVersionMax="47" xr10:uidLastSave="{84F5E4CA-ACEE-4456-96CF-578E5E5F69E1}"/>
  <bookViews>
    <workbookView xWindow="-120" yWindow="-120" windowWidth="20640" windowHeight="11040" xr2:uid="{00000000-000D-0000-FFFF-FFFF00000000}"/>
  </bookViews>
  <sheets>
    <sheet name="Dashboard" sheetId="5" r:id="rId1"/>
    <sheet name="Pivot" sheetId="4" state="hidden" r:id="rId2"/>
    <sheet name="Data" sheetId="2" r:id="rId3"/>
  </sheets>
  <definedNames>
    <definedName name="_xlnm._FilterDatabase" localSheetId="2" hidden="1">Data!$A$1:$AK$348</definedName>
    <definedName name="Slicer_TC_Type">#N/A</definedName>
    <definedName name="Slicer_Zone">#N/A</definedName>
    <definedName name="ToggleValue">Dashboard!$A$38</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4" i="4" l="1"/>
  <c r="K25" i="4"/>
  <c r="K26" i="4"/>
  <c r="K27" i="4"/>
  <c r="K28" i="4"/>
  <c r="K29" i="4"/>
  <c r="K30" i="4"/>
  <c r="K31" i="4"/>
  <c r="K32" i="4"/>
  <c r="K33" i="4"/>
  <c r="K23" i="4"/>
  <c r="E24" i="4"/>
  <c r="E25" i="4"/>
  <c r="E26" i="4"/>
  <c r="E27" i="4"/>
  <c r="E28" i="4"/>
  <c r="E29" i="4"/>
  <c r="E30" i="4"/>
  <c r="E31" i="4"/>
  <c r="E32" i="4"/>
  <c r="E33" i="4"/>
  <c r="E23" i="4"/>
  <c r="P9" i="4"/>
  <c r="Q26" i="4"/>
  <c r="R33" i="4"/>
  <c r="U9" i="4"/>
  <c r="X26" i="4"/>
  <c r="W26" i="4"/>
  <c r="U8" i="4"/>
  <c r="O26" i="4"/>
  <c r="P26" i="4"/>
  <c r="R39" i="4"/>
  <c r="R35" i="4"/>
  <c r="K38" i="4"/>
  <c r="P10" i="4"/>
  <c r="J38" i="4"/>
  <c r="P8" i="4"/>
  <c r="T26" i="4"/>
  <c r="E16" i="4"/>
  <c r="V26" i="4"/>
  <c r="U10" i="4"/>
  <c r="U26" i="4"/>
  <c r="Y26" i="4" l="1"/>
  <c r="T27" i="4" s="1"/>
  <c r="Q8" i="4"/>
  <c r="V8" i="4"/>
  <c r="V9" i="4"/>
  <c r="Q9" i="4"/>
  <c r="W27" i="4" l="1"/>
  <c r="X27" i="4"/>
  <c r="U27" i="4"/>
  <c r="V2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243697-9943-4468-B96D-9B81F503C1AD}" keepAlive="1" name="Query - Master sheet" description="Connection to the 'Master sheet' query in the workbook." type="5" refreshedVersion="8" background="1" saveData="1">
    <dbPr connection="Provider=Microsoft.Mashup.OleDb.1;Data Source=$Workbook$;Location=&quot;Master sheet&quot;;Extended Properties=&quot;&quot;" command="SELECT * FROM [Master sheet]"/>
  </connection>
</connections>
</file>

<file path=xl/sharedStrings.xml><?xml version="1.0" encoding="utf-8"?>
<sst xmlns="http://schemas.openxmlformats.org/spreadsheetml/2006/main" count="2261" uniqueCount="250">
  <si>
    <t>S.No</t>
  </si>
  <si>
    <t>Zone</t>
  </si>
  <si>
    <t>State</t>
  </si>
  <si>
    <t>City</t>
  </si>
  <si>
    <t>Max Count</t>
  </si>
  <si>
    <t>Bihar</t>
  </si>
  <si>
    <t>Arrah</t>
  </si>
  <si>
    <t>Bhagalpur</t>
  </si>
  <si>
    <t>Darbhanga</t>
  </si>
  <si>
    <t>Muzaffarpur</t>
  </si>
  <si>
    <t>Patna</t>
  </si>
  <si>
    <t>Purnea</t>
  </si>
  <si>
    <t>Samastipur</t>
  </si>
  <si>
    <t>Jharkhand</t>
  </si>
  <si>
    <t>Bokaro Steel City</t>
  </si>
  <si>
    <t>Daltonganj</t>
  </si>
  <si>
    <t>Dhanbad</t>
  </si>
  <si>
    <t>Hazaribagh</t>
  </si>
  <si>
    <t>Jamshedpur</t>
  </si>
  <si>
    <t>Ranchi</t>
  </si>
  <si>
    <t>Odisha</t>
  </si>
  <si>
    <t>Balasore</t>
  </si>
  <si>
    <t>Berhampur-Ganjam</t>
  </si>
  <si>
    <t>Bhubaneswar</t>
  </si>
  <si>
    <t>Cuttack</t>
  </si>
  <si>
    <t>Dhenkanal</t>
  </si>
  <si>
    <t>Rourkela</t>
  </si>
  <si>
    <t>Sambalpur</t>
  </si>
  <si>
    <t>Andaman and Nicobar Island</t>
  </si>
  <si>
    <t>Port Blair</t>
  </si>
  <si>
    <t>Arunachal Pradesh</t>
  </si>
  <si>
    <t>Naharlagun</t>
  </si>
  <si>
    <t>Assam</t>
  </si>
  <si>
    <t>Dibrugarh</t>
  </si>
  <si>
    <t>Guwahati</t>
  </si>
  <si>
    <t>Jorhat</t>
  </si>
  <si>
    <t>Silchar</t>
  </si>
  <si>
    <t>Tezpur</t>
  </si>
  <si>
    <t>Manipur</t>
  </si>
  <si>
    <t>Imphal</t>
  </si>
  <si>
    <t>Meghalaya</t>
  </si>
  <si>
    <t>Shillong</t>
  </si>
  <si>
    <t>Mizoram</t>
  </si>
  <si>
    <t>Aizawl</t>
  </si>
  <si>
    <t>Nagaland</t>
  </si>
  <si>
    <t>Kohima</t>
  </si>
  <si>
    <t>Tripura</t>
  </si>
  <si>
    <t>Agartala</t>
  </si>
  <si>
    <t>West Bengal</t>
  </si>
  <si>
    <t>Asansol</t>
  </si>
  <si>
    <t>Burdwan</t>
  </si>
  <si>
    <t>Durgapur</t>
  </si>
  <si>
    <t>Kalyani</t>
  </si>
  <si>
    <t>Kolkata</t>
  </si>
  <si>
    <t>Siliguri</t>
  </si>
  <si>
    <t>Delhi</t>
  </si>
  <si>
    <t>New Delhi</t>
  </si>
  <si>
    <t>Haryana</t>
  </si>
  <si>
    <t>Faridabad</t>
  </si>
  <si>
    <t>Uttar Pradesh</t>
  </si>
  <si>
    <t>Ghaziabad</t>
  </si>
  <si>
    <t>Meerut</t>
  </si>
  <si>
    <t>Noida</t>
  </si>
  <si>
    <t>Agra</t>
  </si>
  <si>
    <t>Aligarh</t>
  </si>
  <si>
    <t>Ayodhya</t>
  </si>
  <si>
    <t>Bareilly</t>
  </si>
  <si>
    <t>Basti</t>
  </si>
  <si>
    <t>Ghazipur</t>
  </si>
  <si>
    <t>Gorakhpur</t>
  </si>
  <si>
    <t>Jhansi</t>
  </si>
  <si>
    <t>Kanpur</t>
  </si>
  <si>
    <t>Lucknow</t>
  </si>
  <si>
    <t>Moradabad</t>
  </si>
  <si>
    <t>Prayagraj</t>
  </si>
  <si>
    <t>Varanasi</t>
  </si>
  <si>
    <t>Uttarakhand</t>
  </si>
  <si>
    <t>Dehradun</t>
  </si>
  <si>
    <t>Haldwani</t>
  </si>
  <si>
    <t>Roorkee</t>
  </si>
  <si>
    <t>Rajasthan</t>
  </si>
  <si>
    <t>Ajmer</t>
  </si>
  <si>
    <t>Bikaner</t>
  </si>
  <si>
    <t>Jaipur</t>
  </si>
  <si>
    <t>Jodhpur</t>
  </si>
  <si>
    <t>Kota</t>
  </si>
  <si>
    <t>Sikar</t>
  </si>
  <si>
    <t>Udaipur</t>
  </si>
  <si>
    <t>Ambala</t>
  </si>
  <si>
    <t>Hisar</t>
  </si>
  <si>
    <t>Himachal Pradesh</t>
  </si>
  <si>
    <t>Hamirpur</t>
  </si>
  <si>
    <t>Kangra</t>
  </si>
  <si>
    <t>Kullu</t>
  </si>
  <si>
    <t>Mandi</t>
  </si>
  <si>
    <t>Palampur</t>
  </si>
  <si>
    <t>Shimla</t>
  </si>
  <si>
    <t>Jammu and Kashmir</t>
  </si>
  <si>
    <t>Jammu</t>
  </si>
  <si>
    <t>Samba</t>
  </si>
  <si>
    <t>Srinagar</t>
  </si>
  <si>
    <t>Punjab</t>
  </si>
  <si>
    <t>Amritsar</t>
  </si>
  <si>
    <t>Bathinda</t>
  </si>
  <si>
    <t>Jalandhar</t>
  </si>
  <si>
    <t>Ludhiana</t>
  </si>
  <si>
    <t>Mohali</t>
  </si>
  <si>
    <t>Pathankot</t>
  </si>
  <si>
    <t>Patiala</t>
  </si>
  <si>
    <t>Phagwara</t>
  </si>
  <si>
    <t>Andhra Pradesh</t>
  </si>
  <si>
    <t>Anantapur</t>
  </si>
  <si>
    <t>Guntur</t>
  </si>
  <si>
    <t>Kadapa</t>
  </si>
  <si>
    <t>Kakinada</t>
  </si>
  <si>
    <t>Kurnool</t>
  </si>
  <si>
    <t>Nellore</t>
  </si>
  <si>
    <t>Ongole</t>
  </si>
  <si>
    <t>Rajahmundry</t>
  </si>
  <si>
    <t>Srikakulam</t>
  </si>
  <si>
    <t>Tirupathi</t>
  </si>
  <si>
    <t>Vijayawada</t>
  </si>
  <si>
    <t>Visakhapatnam</t>
  </si>
  <si>
    <t>Vizianagaram</t>
  </si>
  <si>
    <t>Karnataka</t>
  </si>
  <si>
    <t>Belagavi(Belgaum)</t>
  </si>
  <si>
    <t>Bengaluru</t>
  </si>
  <si>
    <t>Davanagere</t>
  </si>
  <si>
    <t>Hubballi(Hubli)</t>
  </si>
  <si>
    <t>Kalaburagi(Gulbarga)</t>
  </si>
  <si>
    <t>Mangaluru(Mangalore)</t>
  </si>
  <si>
    <t>Mysuru(Mysore)</t>
  </si>
  <si>
    <t>Shivamogga(Shimoga)</t>
  </si>
  <si>
    <t>Udupi</t>
  </si>
  <si>
    <t>Telangana</t>
  </si>
  <si>
    <t>Hyderabad</t>
  </si>
  <si>
    <t>Karimnagar</t>
  </si>
  <si>
    <t>Khammam</t>
  </si>
  <si>
    <t>Warangal</t>
  </si>
  <si>
    <t>Kerala</t>
  </si>
  <si>
    <t>Ernakulam</t>
  </si>
  <si>
    <t>Kannur</t>
  </si>
  <si>
    <t>Kollam</t>
  </si>
  <si>
    <t>Kottayam</t>
  </si>
  <si>
    <t>Kozhikode</t>
  </si>
  <si>
    <t>Thiruvananthapuram</t>
  </si>
  <si>
    <t>Thrissur</t>
  </si>
  <si>
    <t>Tamil Nadu</t>
  </si>
  <si>
    <t>Chennai</t>
  </si>
  <si>
    <t>Coimbatore</t>
  </si>
  <si>
    <t>Madurai</t>
  </si>
  <si>
    <t>Salem</t>
  </si>
  <si>
    <t>Tiruchirappalli</t>
  </si>
  <si>
    <t>Tirunelveli</t>
  </si>
  <si>
    <t>Vellore</t>
  </si>
  <si>
    <t>Goa</t>
  </si>
  <si>
    <t>Panaji</t>
  </si>
  <si>
    <t>Gujarat</t>
  </si>
  <si>
    <t>Ahmedabad</t>
  </si>
  <si>
    <t>Jamnagar</t>
  </si>
  <si>
    <t>Mehsana</t>
  </si>
  <si>
    <t>Rajkot</t>
  </si>
  <si>
    <t>Surat</t>
  </si>
  <si>
    <t>Vadodara</t>
  </si>
  <si>
    <t>Maharashtra</t>
  </si>
  <si>
    <t>Ahmednagar</t>
  </si>
  <si>
    <t>Akola</t>
  </si>
  <si>
    <t>Ambajogai</t>
  </si>
  <si>
    <t>Amravati</t>
  </si>
  <si>
    <t>Buldana</t>
  </si>
  <si>
    <t>Chhatrapati Sambhaji Nagar</t>
  </si>
  <si>
    <t>Dhule</t>
  </si>
  <si>
    <t>Jalgaon</t>
  </si>
  <si>
    <t>Kolhapur</t>
  </si>
  <si>
    <t>Latur</t>
  </si>
  <si>
    <t>Mumbai</t>
  </si>
  <si>
    <t>Nagpur</t>
  </si>
  <si>
    <t>Nanded</t>
  </si>
  <si>
    <t>Nashik</t>
  </si>
  <si>
    <t>Pune</t>
  </si>
  <si>
    <t>Yavatmal</t>
  </si>
  <si>
    <t>Chhattisgarh</t>
  </si>
  <si>
    <t>Bhilai Nagar</t>
  </si>
  <si>
    <t>Bilaspur</t>
  </si>
  <si>
    <t>Raipur</t>
  </si>
  <si>
    <t>Madhya Pradesh</t>
  </si>
  <si>
    <t>Bhopal</t>
  </si>
  <si>
    <t>Gwalior</t>
  </si>
  <si>
    <t>Jabalpur</t>
  </si>
  <si>
    <t>Sagar</t>
  </si>
  <si>
    <t>Satna</t>
  </si>
  <si>
    <t>Ujjain</t>
  </si>
  <si>
    <t>Total Count</t>
  </si>
  <si>
    <t>Network Compliance</t>
  </si>
  <si>
    <t>Power Compliance</t>
  </si>
  <si>
    <t>Lock%</t>
  </si>
  <si>
    <t>Power Issue</t>
  </si>
  <si>
    <t>Network Issue</t>
  </si>
  <si>
    <t>Compliant</t>
  </si>
  <si>
    <t>Non Compliant</t>
  </si>
  <si>
    <t>Row Labels</t>
  </si>
  <si>
    <t>Grand Total</t>
  </si>
  <si>
    <t>Column Labels</t>
  </si>
  <si>
    <t>Count of TC Type</t>
  </si>
  <si>
    <t>Count of Network Compliance</t>
  </si>
  <si>
    <t>Count of Power Compliance</t>
  </si>
  <si>
    <t>Sum of Network Issue</t>
  </si>
  <si>
    <t>Sum of Power Issue</t>
  </si>
  <si>
    <t>Average of Lock%</t>
  </si>
  <si>
    <t>total</t>
  </si>
  <si>
    <t>25th Nov 2024</t>
  </si>
  <si>
    <t>26th Nov 2024</t>
  </si>
  <si>
    <t>27th Nov 2024</t>
  </si>
  <si>
    <t>28th Nov 2024</t>
  </si>
  <si>
    <t>29th Nov 2024</t>
  </si>
  <si>
    <t>Sum of 25th Nov 2024</t>
  </si>
  <si>
    <t>S1</t>
  </si>
  <si>
    <t>S2</t>
  </si>
  <si>
    <t>S3</t>
  </si>
  <si>
    <t>Sum of S1</t>
  </si>
  <si>
    <t>Sum of S2</t>
  </si>
  <si>
    <t>Sum of S3</t>
  </si>
  <si>
    <t>Total Shift 1</t>
  </si>
  <si>
    <t>Total Shift 2</t>
  </si>
  <si>
    <t>Total Shift 3</t>
  </si>
  <si>
    <t>Sum of Total Shift 1</t>
  </si>
  <si>
    <t>Sum of Total Shift 2</t>
  </si>
  <si>
    <t>Sum of Total Shift 3</t>
  </si>
  <si>
    <t>Sum of 26th Nov 2024</t>
  </si>
  <si>
    <t>Sum of 27th Nov 2024</t>
  </si>
  <si>
    <t>Sum of 28th Nov 2024</t>
  </si>
  <si>
    <t>Sum of 29th Nov 2024</t>
  </si>
  <si>
    <t>Max of Max Count</t>
  </si>
  <si>
    <t>Max count</t>
  </si>
  <si>
    <t>Lock %</t>
  </si>
  <si>
    <t xml:space="preserve"> Power Issue</t>
  </si>
  <si>
    <t>East</t>
  </si>
  <si>
    <t>North</t>
  </si>
  <si>
    <t>South</t>
  </si>
  <si>
    <t>West</t>
  </si>
  <si>
    <t>Owned</t>
  </si>
  <si>
    <t>Rented</t>
  </si>
  <si>
    <t>Vendor</t>
  </si>
  <si>
    <t>Central</t>
  </si>
  <si>
    <t>North East</t>
  </si>
  <si>
    <t>Headquarters</t>
  </si>
  <si>
    <t>Venue Code</t>
  </si>
  <si>
    <t>Attendence %</t>
  </si>
  <si>
    <t>Average of Attendence %</t>
  </si>
  <si>
    <t>VenueType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</si>
</sst>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
    <numFmt numFmtId="165" formatCode="dd\-mmm\-yy;@"/>
  </numFmts>
  <fonts count="13"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b/>
      <sz val="11"/>
      <color indexed="8"/>
      <name val="Calibri"/>
      <family val="2"/>
      <charset val="1"/>
    </font>
    <font>
      <b/>
      <sz val="9"/>
      <color indexed="8"/>
      <name val="Calibri"/>
      <family val="2"/>
      <scheme val="minor"/>
    </font>
    <font>
      <sz val="12"/>
      <name val="Calibri"/>
      <family val="2"/>
    </font>
    <font>
      <b/>
      <sz val="10"/>
      <color rgb="FF000000"/>
      <name val="Times New Roman"/>
      <family val="1"/>
    </font>
    <font>
      <sz val="11"/>
      <color indexed="8"/>
      <name val="Calibri"/>
      <family val="2"/>
    </font>
    <font>
      <sz val="8"/>
      <name val="Calibri"/>
      <family val="2"/>
      <scheme val="minor"/>
    </font>
    <font>
      <sz val="10"/>
      <color rgb="FF000000"/>
      <name val="Arial"/>
      <family val="2"/>
    </font>
    <font>
      <sz val="12"/>
      <color rgb="FF000000"/>
      <name val="Calibri"/>
      <family val="2"/>
    </font>
    <font>
      <sz val="12"/>
      <color theme="1"/>
      <name val="Calibri"/>
      <family val="2"/>
      <scheme val="minor"/>
    </font>
  </fonts>
  <fills count="13">
    <fill>
      <patternFill patternType="none"/>
    </fill>
    <fill>
      <patternFill patternType="gray125"/>
    </fill>
    <fill>
      <patternFill patternType="solid">
        <fgColor indexed="13"/>
        <bgColor indexed="34"/>
      </patternFill>
    </fill>
    <fill>
      <patternFill patternType="solid">
        <fgColor theme="5" tint="0.59996337778862885"/>
        <bgColor indexed="22"/>
      </patternFill>
    </fill>
    <fill>
      <patternFill patternType="solid">
        <fgColor rgb="FFFF0000"/>
        <bgColor indexed="64"/>
      </patternFill>
    </fill>
    <fill>
      <patternFill patternType="solid">
        <fgColor theme="5" tint="0.59999389629810485"/>
        <bgColor rgb="FF000000"/>
      </patternFill>
    </fill>
    <fill>
      <patternFill patternType="solid">
        <fgColor theme="8" tint="0.59999389629810485"/>
        <bgColor rgb="FF000000"/>
      </patternFill>
    </fill>
    <fill>
      <patternFill patternType="solid">
        <fgColor indexed="50"/>
        <bgColor indexed="42"/>
      </patternFill>
    </fill>
    <fill>
      <patternFill patternType="solid">
        <fgColor rgb="FF92D050"/>
        <bgColor indexed="52"/>
      </patternFill>
    </fill>
    <fill>
      <patternFill patternType="solid">
        <fgColor theme="4" tint="0.79998168889431442"/>
        <bgColor theme="4" tint="0.79998168889431442"/>
      </patternFill>
    </fill>
    <fill>
      <patternFill patternType="solid">
        <fgColor theme="2"/>
        <bgColor indexed="64"/>
      </patternFill>
    </fill>
    <fill>
      <patternFill patternType="solid">
        <fgColor rgb="FF222B35"/>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5">
    <xf numFmtId="0" fontId="0" fillId="0" borderId="0" xfId="0"/>
    <xf numFmtId="0" fontId="3"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6" fillId="0" borderId="1" xfId="0" applyFont="1" applyBorder="1" applyAlignment="1">
      <alignment horizontal="center"/>
    </xf>
    <xf numFmtId="0" fontId="5" fillId="3" borderId="2"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4" fillId="7" borderId="1" xfId="0" applyFont="1" applyFill="1" applyBorder="1" applyAlignment="1">
      <alignment horizontal="center" vertical="center" wrapText="1"/>
    </xf>
    <xf numFmtId="164" fontId="8" fillId="4" borderId="1" xfId="0" applyNumberFormat="1" applyFont="1" applyFill="1" applyBorder="1" applyAlignment="1">
      <alignment horizontal="center" vertical="center" wrapText="1"/>
    </xf>
    <xf numFmtId="165" fontId="4" fillId="8" borderId="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0" fontId="2" fillId="9" borderId="3" xfId="0" applyFont="1" applyFill="1" applyBorder="1"/>
    <xf numFmtId="10" fontId="0" fillId="0" borderId="0" xfId="0" applyNumberFormat="1"/>
    <xf numFmtId="0" fontId="2" fillId="0" borderId="3" xfId="0" applyFont="1" applyBorder="1"/>
    <xf numFmtId="0" fontId="2" fillId="0" borderId="4" xfId="0" applyFont="1" applyBorder="1" applyAlignment="1">
      <alignment horizontal="left"/>
    </xf>
    <xf numFmtId="0" fontId="2" fillId="0" borderId="4" xfId="0" applyFont="1" applyBorder="1"/>
    <xf numFmtId="0" fontId="2" fillId="10" borderId="3" xfId="0" applyFont="1" applyFill="1" applyBorder="1"/>
    <xf numFmtId="0" fontId="0" fillId="10" borderId="0" xfId="0" applyFill="1"/>
    <xf numFmtId="10" fontId="0" fillId="0" borderId="0" xfId="1" applyNumberFormat="1" applyFont="1" applyFill="1"/>
    <xf numFmtId="0" fontId="0" fillId="11" borderId="0" xfId="0" applyFill="1"/>
    <xf numFmtId="0" fontId="0" fillId="0" borderId="0" xfId="0" applyAlignment="1">
      <alignment horizontal="center"/>
    </xf>
    <xf numFmtId="0" fontId="2" fillId="9" borderId="0" xfId="0" applyFont="1" applyFill="1"/>
    <xf numFmtId="10" fontId="0" fillId="0" borderId="0" xfId="1" applyNumberFormat="1" applyFont="1"/>
    <xf numFmtId="0" fontId="0" fillId="12" borderId="0" xfId="0" applyFill="1"/>
    <xf numFmtId="0" fontId="10" fillId="0" borderId="1" xfId="0" applyFont="1" applyBorder="1"/>
    <xf numFmtId="0" fontId="11" fillId="0" borderId="1" xfId="0" applyFont="1" applyBorder="1" applyAlignment="1">
      <alignment horizontal="center"/>
    </xf>
    <xf numFmtId="0" fontId="12" fillId="0" borderId="1" xfId="0" applyFont="1" applyBorder="1" applyAlignment="1">
      <alignment horizontal="center"/>
    </xf>
    <xf numFmtId="0" fontId="0" fillId="0" borderId="5" xfId="0" applyBorder="1" applyAlignment="1">
      <alignment horizontal="center"/>
    </xf>
    <xf numFmtId="9" fontId="8" fillId="4" borderId="1" xfId="0" applyNumberFormat="1" applyFont="1" applyFill="1" applyBorder="1" applyAlignment="1">
      <alignment horizontal="center" vertical="center" wrapText="1"/>
    </xf>
    <xf numFmtId="0" fontId="2" fillId="10" borderId="0" xfId="0" applyFont="1" applyFill="1" applyAlignment="1">
      <alignment horizontal="center"/>
    </xf>
  </cellXfs>
  <cellStyles count="2">
    <cellStyle name="Normal" xfId="0" builtinId="0"/>
    <cellStyle name="Percent" xfId="1" builtinId="5"/>
  </cellStyles>
  <dxfs count="25">
    <dxf>
      <numFmt numFmtId="14" formatCode="0.00%"/>
    </dxf>
    <dxf>
      <numFmt numFmtId="14" formatCode="0.00%"/>
    </dxf>
    <dxf>
      <numFmt numFmtId="14" formatCode="0.00%"/>
    </dxf>
    <dxf>
      <numFmt numFmtId="14"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8" tint="0.79995117038483843"/>
      </font>
    </dxf>
    <dxf>
      <font>
        <color theme="8" tint="0.79998168889431442"/>
      </font>
      <fill>
        <patternFill>
          <bgColor rgb="FF303D4A"/>
        </patternFill>
      </fill>
    </dxf>
  </dxfs>
  <tableStyles count="2" defaultTableStyle="TableStyleMedium2" defaultPivotStyle="PivotStyleLight16">
    <tableStyle name="Slicer Style 1" pivot="0" table="0" count="4" xr9:uid="{AC69E853-4A49-494F-8BB3-49B22E12822D}">
      <tableStyleElement type="wholeTable" dxfId="24"/>
      <tableStyleElement type="headerRow" dxfId="23"/>
    </tableStyle>
    <tableStyle name="Slicer Style 2" pivot="0" table="0" count="1" xr9:uid="{FD7D4F6D-C6E1-44FD-BDC3-633FD180A60C}"/>
  </tableStyles>
  <colors>
    <mruColors>
      <color rgb="FF75C701"/>
      <color rgb="FF303D4A"/>
      <color rgb="FF303B4A"/>
      <color rgb="FF8497B0"/>
      <color rgb="FF222B35"/>
    </mruColors>
  </colors>
  <extLst>
    <ext xmlns:x14="http://schemas.microsoft.com/office/spreadsheetml/2009/9/main" uri="{46F421CA-312F-682f-3DD2-61675219B42D}">
      <x14:dxfs count="3">
        <dxf>
          <font>
            <color theme="0" tint="-4.9989318521683403E-2"/>
          </font>
        </dxf>
        <dxf>
          <font>
            <color theme="0" tint="-4.9989318521683403E-2"/>
          </font>
        </dxf>
        <dxf>
          <font>
            <color theme="2" tint="-0.499984740745262"/>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
            <x14:slicerStyleElement type="selectedItemWithData" dxfId="1"/>
          </x14:slicerStyleElements>
        </x14:slicerStyle>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70478247741156"/>
          <c:y val="0.15855864854005733"/>
          <c:w val="0.55899658560379073"/>
          <c:h val="0.68288270291988529"/>
        </c:manualLayout>
      </c:layout>
      <c:doughnutChart>
        <c:varyColors val="1"/>
        <c:ser>
          <c:idx val="0"/>
          <c:order val="0"/>
          <c:spPr>
            <a:ln>
              <a:noFill/>
            </a:ln>
          </c:spPr>
          <c:dPt>
            <c:idx val="0"/>
            <c:bubble3D val="0"/>
            <c:spPr>
              <a:solidFill>
                <a:schemeClr val="bg2">
                  <a:lumMod val="50000"/>
                </a:schemeClr>
              </a:solidFill>
              <a:ln w="19050">
                <a:noFill/>
              </a:ln>
              <a:effectLst/>
            </c:spPr>
            <c:extLst>
              <c:ext xmlns:c16="http://schemas.microsoft.com/office/drawing/2014/chart" uri="{C3380CC4-5D6E-409C-BE32-E72D297353CC}">
                <c16:uniqueId val="{00000001-947B-40B8-8291-701D72B0B946}"/>
              </c:ext>
            </c:extLst>
          </c:dPt>
          <c:dPt>
            <c:idx val="1"/>
            <c:bubble3D val="0"/>
            <c:spPr>
              <a:solidFill>
                <a:schemeClr val="accent5">
                  <a:lumMod val="20000"/>
                  <a:lumOff val="80000"/>
                </a:schemeClr>
              </a:solidFill>
              <a:ln w="19050">
                <a:noFill/>
              </a:ln>
              <a:effectLst/>
            </c:spPr>
            <c:extLst>
              <c:ext xmlns:c16="http://schemas.microsoft.com/office/drawing/2014/chart" uri="{C3380CC4-5D6E-409C-BE32-E72D297353CC}">
                <c16:uniqueId val="{00000003-947B-40B8-8291-701D72B0B946}"/>
              </c:ext>
            </c:extLst>
          </c:dPt>
          <c:val>
            <c:numRef>
              <c:f>Pivot!$Q$8:$Q$9</c:f>
              <c:numCache>
                <c:formatCode>0.00%</c:formatCode>
                <c:ptCount val="2"/>
                <c:pt idx="0">
                  <c:v>0.67435158501440917</c:v>
                </c:pt>
                <c:pt idx="1">
                  <c:v>0.32564841498559077</c:v>
                </c:pt>
              </c:numCache>
            </c:numRef>
          </c:val>
          <c:extLst>
            <c:ext xmlns:c16="http://schemas.microsoft.com/office/drawing/2014/chart" uri="{C3380CC4-5D6E-409C-BE32-E72D297353CC}">
              <c16:uniqueId val="{00000004-947B-40B8-8291-701D72B0B94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chemeClr val="bg2">
                <a:lumMod val="50000"/>
              </a:schemeClr>
            </a:solidFill>
            <a:ln>
              <a:noFill/>
            </a:ln>
          </c:spPr>
          <c:dPt>
            <c:idx val="0"/>
            <c:bubble3D val="0"/>
            <c:spPr>
              <a:solidFill>
                <a:schemeClr val="bg2">
                  <a:lumMod val="50000"/>
                </a:schemeClr>
              </a:solidFill>
              <a:ln w="19050">
                <a:noFill/>
              </a:ln>
              <a:effectLst/>
            </c:spPr>
            <c:extLst>
              <c:ext xmlns:c16="http://schemas.microsoft.com/office/drawing/2014/chart" uri="{C3380CC4-5D6E-409C-BE32-E72D297353CC}">
                <c16:uniqueId val="{00000001-CDA6-422F-9EE1-531AF0BDF554}"/>
              </c:ext>
            </c:extLst>
          </c:dPt>
          <c:dPt>
            <c:idx val="1"/>
            <c:bubble3D val="0"/>
            <c:spPr>
              <a:solidFill>
                <a:schemeClr val="accent5">
                  <a:lumMod val="20000"/>
                  <a:lumOff val="80000"/>
                </a:schemeClr>
              </a:solidFill>
              <a:ln w="19050">
                <a:noFill/>
              </a:ln>
              <a:effectLst/>
            </c:spPr>
            <c:extLst>
              <c:ext xmlns:c16="http://schemas.microsoft.com/office/drawing/2014/chart" uri="{C3380CC4-5D6E-409C-BE32-E72D297353CC}">
                <c16:uniqueId val="{00000003-CDA6-422F-9EE1-531AF0BDF554}"/>
              </c:ext>
            </c:extLst>
          </c:dPt>
          <c:val>
            <c:numRef>
              <c:f>Pivot!$V$8:$V$9</c:f>
              <c:numCache>
                <c:formatCode>0.00%</c:formatCode>
                <c:ptCount val="2"/>
                <c:pt idx="0">
                  <c:v>0.65994236311239196</c:v>
                </c:pt>
                <c:pt idx="1">
                  <c:v>0.34005763688760809</c:v>
                </c:pt>
              </c:numCache>
            </c:numRef>
          </c:val>
          <c:extLst>
            <c:ext xmlns:c16="http://schemas.microsoft.com/office/drawing/2014/chart" uri="{C3380CC4-5D6E-409C-BE32-E72D297353CC}">
              <c16:uniqueId val="{00000004-CDA6-422F-9EE1-531AF0BDF55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8524135570010271"/>
          <c:y val="0.14700037495313087"/>
          <c:w val="0.58386774837960564"/>
          <c:h val="0.62886764154480701"/>
        </c:manualLayout>
      </c:layout>
      <c:barChart>
        <c:barDir val="bar"/>
        <c:grouping val="clustered"/>
        <c:varyColors val="0"/>
        <c:ser>
          <c:idx val="0"/>
          <c:order val="0"/>
          <c:spPr>
            <a:solidFill>
              <a:schemeClr val="accent1"/>
            </a:solidFill>
            <a:ln>
              <a:noFill/>
            </a:ln>
            <a:effectLst/>
          </c:spPr>
          <c:invertIfNegative val="0"/>
          <c:dPt>
            <c:idx val="0"/>
            <c:invertIfNegative val="0"/>
            <c:bubble3D val="0"/>
            <c:spPr>
              <a:solidFill>
                <a:schemeClr val="bg2">
                  <a:lumMod val="50000"/>
                </a:schemeClr>
              </a:solidFill>
              <a:ln>
                <a:noFill/>
              </a:ln>
              <a:effectLst/>
            </c:spPr>
            <c:extLst>
              <c:ext xmlns:c16="http://schemas.microsoft.com/office/drawing/2014/chart" uri="{C3380CC4-5D6E-409C-BE32-E72D297353CC}">
                <c16:uniqueId val="{00000002-760D-4855-9874-BE41A24C5C32}"/>
              </c:ext>
            </c:extLst>
          </c:dPt>
          <c:cat>
            <c:strRef>
              <c:f>Pivot!$Q$35</c:f>
              <c:strCache>
                <c:ptCount val="1"/>
                <c:pt idx="0">
                  <c:v>Attendence %</c:v>
                </c:pt>
              </c:strCache>
            </c:strRef>
          </c:cat>
          <c:val>
            <c:numRef>
              <c:f>Pivot!$R$35</c:f>
              <c:numCache>
                <c:formatCode>0.00%</c:formatCode>
                <c:ptCount val="1"/>
                <c:pt idx="0">
                  <c:v>0.50531566937107786</c:v>
                </c:pt>
              </c:numCache>
            </c:numRef>
          </c:val>
          <c:extLst>
            <c:ext xmlns:c16="http://schemas.microsoft.com/office/drawing/2014/chart" uri="{C3380CC4-5D6E-409C-BE32-E72D297353CC}">
              <c16:uniqueId val="{00000000-760D-4855-9874-BE41A24C5C32}"/>
            </c:ext>
          </c:extLst>
        </c:ser>
        <c:dLbls>
          <c:showLegendKey val="0"/>
          <c:showVal val="0"/>
          <c:showCatName val="0"/>
          <c:showSerName val="0"/>
          <c:showPercent val="0"/>
          <c:showBubbleSize val="0"/>
        </c:dLbls>
        <c:gapWidth val="182"/>
        <c:axId val="1108989311"/>
        <c:axId val="1108987871"/>
      </c:barChart>
      <c:catAx>
        <c:axId val="110898931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1100" b="1" i="0" u="none" strike="noStrike" kern="1200" baseline="0">
                <a:solidFill>
                  <a:schemeClr val="bg1">
                    <a:lumMod val="95000"/>
                  </a:schemeClr>
                </a:solidFill>
                <a:latin typeface="+mn-lt"/>
                <a:ea typeface="+mn-ea"/>
                <a:cs typeface="+mn-cs"/>
              </a:defRPr>
            </a:pPr>
            <a:endParaRPr lang="en-US"/>
          </a:p>
        </c:txPr>
        <c:crossAx val="1108987871"/>
        <c:crosses val="autoZero"/>
        <c:auto val="1"/>
        <c:lblAlgn val="ctr"/>
        <c:lblOffset val="100"/>
        <c:noMultiLvlLbl val="0"/>
      </c:catAx>
      <c:valAx>
        <c:axId val="1108987871"/>
        <c:scaling>
          <c:orientation val="minMax"/>
        </c:scaling>
        <c:delete val="1"/>
        <c:axPos val="b"/>
        <c:numFmt formatCode="0.00%" sourceLinked="1"/>
        <c:majorTickMark val="none"/>
        <c:minorTickMark val="none"/>
        <c:tickLblPos val="nextTo"/>
        <c:crossAx val="110898931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a:solidFill>
                  <a:schemeClr val="accent4">
                    <a:lumMod val="40000"/>
                    <a:lumOff val="60000"/>
                  </a:schemeClr>
                </a:solidFill>
                <a:latin typeface="Calibri"/>
                <a:ea typeface="Calibri"/>
                <a:cs typeface="Calibri"/>
              </a:rPr>
              <a:t>Student</a:t>
            </a:r>
            <a:r>
              <a:rPr lang="en-US" sz="1400" b="1" i="0" u="none" strike="noStrike" baseline="0">
                <a:solidFill>
                  <a:schemeClr val="accent4">
                    <a:lumMod val="40000"/>
                    <a:lumOff val="60000"/>
                  </a:schemeClr>
                </a:solidFill>
                <a:latin typeface="Calibri"/>
                <a:ea typeface="Calibri"/>
                <a:cs typeface="Calibri"/>
              </a:rPr>
              <a:t> Count</a:t>
            </a:r>
            <a:endParaRPr lang="en-US" sz="1400" b="1" i="0" u="none" strike="noStrike">
              <a:solidFill>
                <a:schemeClr val="accent4">
                  <a:lumMod val="40000"/>
                  <a:lumOff val="60000"/>
                </a:schemeClr>
              </a:solidFill>
              <a:latin typeface="Calibri"/>
              <a:ea typeface="Calibri"/>
              <a:cs typeface="Calibri"/>
            </a:endParaRPr>
          </a:p>
        </c:rich>
      </c:tx>
      <c:layout>
        <c:manualLayout>
          <c:xMode val="edge"/>
          <c:yMode val="edge"/>
          <c:x val="0.34699986185937287"/>
          <c:y val="2.4316099868326297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8.3389786802965424E-2"/>
          <c:y val="0.14806391879671174"/>
          <c:w val="0.8862008564718884"/>
          <c:h val="0.75932819693783993"/>
        </c:manualLayout>
      </c:layout>
      <c:barChart>
        <c:barDir val="col"/>
        <c:grouping val="clustered"/>
        <c:varyColors val="0"/>
        <c:ser>
          <c:idx val="0"/>
          <c:order val="0"/>
          <c:spPr>
            <a:gradFill>
              <a:gsLst>
                <a:gs pos="0">
                  <a:schemeClr val="bg2">
                    <a:lumMod val="25000"/>
                  </a:schemeClr>
                </a:gs>
                <a:gs pos="100000">
                  <a:schemeClr val="bg2">
                    <a:lumMod val="75000"/>
                  </a:scheme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Pivot!$T$25:$X$25</c:f>
              <c:strCache>
                <c:ptCount val="5"/>
                <c:pt idx="0">
                  <c:v>25th Nov 2024</c:v>
                </c:pt>
                <c:pt idx="1">
                  <c:v>26th Nov 2024</c:v>
                </c:pt>
                <c:pt idx="2">
                  <c:v>27th Nov 2024</c:v>
                </c:pt>
                <c:pt idx="3">
                  <c:v>28th Nov 2024</c:v>
                </c:pt>
                <c:pt idx="4">
                  <c:v>29th Nov 2024</c:v>
                </c:pt>
              </c:strCache>
            </c:strRef>
          </c:cat>
          <c:val>
            <c:numRef>
              <c:f>Pivot!$T$26:$X$26</c:f>
              <c:numCache>
                <c:formatCode>General</c:formatCode>
                <c:ptCount val="5"/>
                <c:pt idx="0">
                  <c:v>368716</c:v>
                </c:pt>
                <c:pt idx="1">
                  <c:v>368316</c:v>
                </c:pt>
                <c:pt idx="2">
                  <c:v>368065</c:v>
                </c:pt>
                <c:pt idx="3">
                  <c:v>368019</c:v>
                </c:pt>
                <c:pt idx="4">
                  <c:v>367231</c:v>
                </c:pt>
              </c:numCache>
            </c:numRef>
          </c:val>
          <c:extLst>
            <c:ext xmlns:c16="http://schemas.microsoft.com/office/drawing/2014/chart" uri="{C3380CC4-5D6E-409C-BE32-E72D297353CC}">
              <c16:uniqueId val="{00000000-BA29-43DE-B420-749A8746D8BC}"/>
            </c:ext>
          </c:extLst>
        </c:ser>
        <c:dLbls>
          <c:showLegendKey val="0"/>
          <c:showVal val="0"/>
          <c:showCatName val="0"/>
          <c:showSerName val="0"/>
          <c:showPercent val="0"/>
          <c:showBubbleSize val="0"/>
        </c:dLbls>
        <c:gapWidth val="160"/>
        <c:axId val="1127050239"/>
        <c:axId val="1127055039"/>
      </c:barChart>
      <c:catAx>
        <c:axId val="112705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127055039"/>
        <c:crosses val="autoZero"/>
        <c:auto val="1"/>
        <c:lblAlgn val="ctr"/>
        <c:lblOffset val="100"/>
        <c:noMultiLvlLbl val="0"/>
      </c:catAx>
      <c:valAx>
        <c:axId val="112705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12705023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30175050432745"/>
          <c:y val="0.16197566939169086"/>
          <c:w val="0.71020541853755881"/>
          <c:h val="0.64286513837045789"/>
        </c:manualLayout>
      </c:layout>
      <c:doughnutChart>
        <c:varyColors val="1"/>
        <c:ser>
          <c:idx val="0"/>
          <c:order val="0"/>
          <c:spPr>
            <a:gradFill>
              <a:gsLst>
                <a:gs pos="0">
                  <a:schemeClr val="accent1">
                    <a:lumMod val="75000"/>
                  </a:schemeClr>
                </a:gs>
                <a:gs pos="100000">
                  <a:schemeClr val="accent2">
                    <a:lumMod val="75000"/>
                  </a:schemeClr>
                </a:gs>
              </a:gsLst>
              <a:lin ang="3600000" scaled="0"/>
            </a:gradFill>
            <a:ln>
              <a:noFill/>
            </a:ln>
          </c:spPr>
          <c:dPt>
            <c:idx val="0"/>
            <c:bubble3D val="0"/>
            <c:spPr>
              <a:gradFill>
                <a:gsLst>
                  <a:gs pos="0">
                    <a:schemeClr val="accent1">
                      <a:lumMod val="75000"/>
                    </a:schemeClr>
                  </a:gs>
                  <a:gs pos="100000">
                    <a:schemeClr val="accent1">
                      <a:lumMod val="60000"/>
                      <a:lumOff val="40000"/>
                    </a:schemeClr>
                  </a:gs>
                </a:gsLst>
                <a:lin ang="3600000" scaled="0"/>
              </a:gradFill>
              <a:ln w="19050">
                <a:noFill/>
              </a:ln>
              <a:effectLst/>
            </c:spPr>
            <c:extLst>
              <c:ext xmlns:c16="http://schemas.microsoft.com/office/drawing/2014/chart" uri="{C3380CC4-5D6E-409C-BE32-E72D297353CC}">
                <c16:uniqueId val="{00000001-6B41-4357-8A8F-90C66C5F556E}"/>
              </c:ext>
            </c:extLst>
          </c:dPt>
          <c:dPt>
            <c:idx val="1"/>
            <c:bubble3D val="0"/>
            <c:spPr>
              <a:gradFill>
                <a:gsLst>
                  <a:gs pos="0">
                    <a:schemeClr val="accent1">
                      <a:lumMod val="75000"/>
                    </a:schemeClr>
                  </a:gs>
                  <a:gs pos="100000">
                    <a:schemeClr val="accent2">
                      <a:lumMod val="75000"/>
                    </a:schemeClr>
                  </a:gs>
                </a:gsLst>
                <a:lin ang="3600000" scaled="0"/>
              </a:gradFill>
              <a:ln w="19050">
                <a:noFill/>
              </a:ln>
              <a:effectLst/>
            </c:spPr>
            <c:extLst>
              <c:ext xmlns:c16="http://schemas.microsoft.com/office/drawing/2014/chart" uri="{C3380CC4-5D6E-409C-BE32-E72D297353CC}">
                <c16:uniqueId val="{00000003-6B41-4357-8A8F-90C66C5F556E}"/>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Pivot!$J$37:$K$37</c:f>
              <c:strCache>
                <c:ptCount val="2"/>
                <c:pt idx="0">
                  <c:v>Network Issue</c:v>
                </c:pt>
                <c:pt idx="1">
                  <c:v> Power Issue</c:v>
                </c:pt>
              </c:strCache>
            </c:strRef>
          </c:cat>
          <c:val>
            <c:numRef>
              <c:f>Pivot!$J$38:$K$38</c:f>
              <c:numCache>
                <c:formatCode>General</c:formatCode>
                <c:ptCount val="2"/>
                <c:pt idx="0">
                  <c:v>11</c:v>
                </c:pt>
                <c:pt idx="1">
                  <c:v>52</c:v>
                </c:pt>
              </c:numCache>
            </c:numRef>
          </c:val>
          <c:extLst>
            <c:ext xmlns:c16="http://schemas.microsoft.com/office/drawing/2014/chart" uri="{C3380CC4-5D6E-409C-BE32-E72D297353CC}">
              <c16:uniqueId val="{00000004-6B41-4357-8A8F-90C66C5F556E}"/>
            </c:ext>
          </c:extLst>
        </c:ser>
        <c:dLbls>
          <c:showLegendKey val="0"/>
          <c:showVal val="0"/>
          <c:showCatName val="0"/>
          <c:showSerName val="0"/>
          <c:showPercent val="0"/>
          <c:showBubbleSize val="0"/>
          <c:showLeaderLines val="1"/>
        </c:dLbls>
        <c:firstSliceAng val="0"/>
        <c:holeSize val="62"/>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24-4562-83B9-BDFD12C05A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24-4562-83B9-BDFD12C05AFD}"/>
              </c:ext>
            </c:extLst>
          </c:dPt>
          <c:val>
            <c:numRef>
              <c:f>Pivot!$Q$8:$Q$9</c:f>
              <c:numCache>
                <c:formatCode>0.00%</c:formatCode>
                <c:ptCount val="2"/>
                <c:pt idx="0">
                  <c:v>0.67435158501440917</c:v>
                </c:pt>
                <c:pt idx="1">
                  <c:v>0.32564841498559077</c:v>
                </c:pt>
              </c:numCache>
            </c:numRef>
          </c:val>
          <c:extLst>
            <c:ext xmlns:c16="http://schemas.microsoft.com/office/drawing/2014/chart" uri="{C3380CC4-5D6E-409C-BE32-E72D297353CC}">
              <c16:uniqueId val="{00000000-3E0F-4FD2-8FED-7663A0A763D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2D1-4909-892C-C93AB91DF5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2D1-4909-892C-C93AB91DF507}"/>
              </c:ext>
            </c:extLst>
          </c:dPt>
          <c:val>
            <c:numRef>
              <c:f>Pivot!$V$8:$V$9</c:f>
              <c:numCache>
                <c:formatCode>0.00%</c:formatCode>
                <c:ptCount val="2"/>
                <c:pt idx="0">
                  <c:v>0.65994236311239196</c:v>
                </c:pt>
                <c:pt idx="1">
                  <c:v>0.34005763688760809</c:v>
                </c:pt>
              </c:numCache>
            </c:numRef>
          </c:val>
          <c:extLst>
            <c:ext xmlns:c16="http://schemas.microsoft.com/office/drawing/2014/chart" uri="{C3380CC4-5D6E-409C-BE32-E72D297353CC}">
              <c16:uniqueId val="{00000000-88EA-4C77-97C7-6B3637AE2F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Pivot!$Q$39</c:f>
              <c:strCache>
                <c:ptCount val="1"/>
                <c:pt idx="0">
                  <c:v>Lock %</c:v>
                </c:pt>
              </c:strCache>
            </c:strRef>
          </c:cat>
          <c:val>
            <c:numRef>
              <c:f>Pivot!$R$39</c:f>
              <c:numCache>
                <c:formatCode>0.00%</c:formatCode>
                <c:ptCount val="1"/>
                <c:pt idx="0">
                  <c:v>#N/A</c:v>
                </c:pt>
              </c:numCache>
            </c:numRef>
          </c:val>
          <c:extLst>
            <c:ext xmlns:c16="http://schemas.microsoft.com/office/drawing/2014/chart" uri="{C3380CC4-5D6E-409C-BE32-E72D297353CC}">
              <c16:uniqueId val="{00000000-0432-47AF-BB82-7C7AA201518A}"/>
            </c:ext>
          </c:extLst>
        </c:ser>
        <c:dLbls>
          <c:showLegendKey val="0"/>
          <c:showVal val="0"/>
          <c:showCatName val="0"/>
          <c:showSerName val="0"/>
          <c:showPercent val="0"/>
          <c:showBubbleSize val="0"/>
        </c:dLbls>
        <c:gapWidth val="182"/>
        <c:axId val="1140646303"/>
        <c:axId val="1140634783"/>
      </c:barChart>
      <c:catAx>
        <c:axId val="1140646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34783"/>
        <c:crosses val="autoZero"/>
        <c:auto val="1"/>
        <c:lblAlgn val="ctr"/>
        <c:lblOffset val="100"/>
        <c:noMultiLvlLbl val="0"/>
      </c:catAx>
      <c:valAx>
        <c:axId val="114063478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463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Pivot!$Q$35</c:f>
              <c:strCache>
                <c:ptCount val="1"/>
                <c:pt idx="0">
                  <c:v>Attendence %</c:v>
                </c:pt>
              </c:strCache>
            </c:strRef>
          </c:cat>
          <c:val>
            <c:numRef>
              <c:f>Pivot!$R$35</c:f>
              <c:numCache>
                <c:formatCode>0.00%</c:formatCode>
                <c:ptCount val="1"/>
                <c:pt idx="0">
                  <c:v>0.50531566937107786</c:v>
                </c:pt>
              </c:numCache>
            </c:numRef>
          </c:val>
          <c:extLst>
            <c:ext xmlns:c16="http://schemas.microsoft.com/office/drawing/2014/chart" uri="{C3380CC4-5D6E-409C-BE32-E72D297353CC}">
              <c16:uniqueId val="{00000000-FE7F-401D-9EF3-C23C38E9F90C}"/>
            </c:ext>
          </c:extLst>
        </c:ser>
        <c:dLbls>
          <c:showLegendKey val="0"/>
          <c:showVal val="0"/>
          <c:showCatName val="0"/>
          <c:showSerName val="0"/>
          <c:showPercent val="0"/>
          <c:showBubbleSize val="0"/>
        </c:dLbls>
        <c:gapWidth val="182"/>
        <c:axId val="1108989311"/>
        <c:axId val="1108987871"/>
      </c:barChart>
      <c:catAx>
        <c:axId val="11089893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87871"/>
        <c:crosses val="autoZero"/>
        <c:auto val="1"/>
        <c:lblAlgn val="ctr"/>
        <c:lblOffset val="100"/>
        <c:noMultiLvlLbl val="0"/>
      </c:catAx>
      <c:valAx>
        <c:axId val="1108987871"/>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898931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clustered"/>
        <c:varyColors val="0"/>
        <c:ser>
          <c:idx val="0"/>
          <c:order val="0"/>
          <c:spPr>
            <a:solidFill>
              <a:schemeClr val="accent1"/>
            </a:solidFill>
            <a:ln>
              <a:noFill/>
            </a:ln>
            <a:effectLst/>
            <a:sp3d/>
          </c:spPr>
          <c:invertIfNegative val="0"/>
          <c:cat>
            <c:strRef>
              <c:f>Pivot!$T$25:$X$25</c:f>
              <c:strCache>
                <c:ptCount val="5"/>
                <c:pt idx="0">
                  <c:v>25th Nov 2024</c:v>
                </c:pt>
                <c:pt idx="1">
                  <c:v>26th Nov 2024</c:v>
                </c:pt>
                <c:pt idx="2">
                  <c:v>27th Nov 2024</c:v>
                </c:pt>
                <c:pt idx="3">
                  <c:v>28th Nov 2024</c:v>
                </c:pt>
                <c:pt idx="4">
                  <c:v>29th Nov 2024</c:v>
                </c:pt>
              </c:strCache>
            </c:strRef>
          </c:cat>
          <c:val>
            <c:numRef>
              <c:f>Pivot!$T$26:$X$26</c:f>
              <c:numCache>
                <c:formatCode>General</c:formatCode>
                <c:ptCount val="5"/>
                <c:pt idx="0">
                  <c:v>368716</c:v>
                </c:pt>
                <c:pt idx="1">
                  <c:v>368316</c:v>
                </c:pt>
                <c:pt idx="2">
                  <c:v>368065</c:v>
                </c:pt>
                <c:pt idx="3">
                  <c:v>368019</c:v>
                </c:pt>
                <c:pt idx="4">
                  <c:v>367231</c:v>
                </c:pt>
              </c:numCache>
            </c:numRef>
          </c:val>
          <c:extLst>
            <c:ext xmlns:c16="http://schemas.microsoft.com/office/drawing/2014/chart" uri="{C3380CC4-5D6E-409C-BE32-E72D297353CC}">
              <c16:uniqueId val="{00000000-92CC-49BA-AD32-7F284DB0DA99}"/>
            </c:ext>
          </c:extLst>
        </c:ser>
        <c:dLbls>
          <c:showLegendKey val="0"/>
          <c:showVal val="0"/>
          <c:showCatName val="0"/>
          <c:showSerName val="0"/>
          <c:showPercent val="0"/>
          <c:showBubbleSize val="0"/>
        </c:dLbls>
        <c:gapWidth val="150"/>
        <c:shape val="box"/>
        <c:axId val="1127050239"/>
        <c:axId val="1127055039"/>
        <c:axId val="0"/>
      </c:bar3DChart>
      <c:catAx>
        <c:axId val="11270502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55039"/>
        <c:crosses val="autoZero"/>
        <c:auto val="1"/>
        <c:lblAlgn val="ctr"/>
        <c:lblOffset val="100"/>
        <c:noMultiLvlLbl val="0"/>
      </c:catAx>
      <c:valAx>
        <c:axId val="11270550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05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27-499D-9737-0BACFDD5246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27-499D-9737-0BACFDD52462}"/>
              </c:ext>
            </c:extLst>
          </c:dPt>
          <c:cat>
            <c:strRef>
              <c:f>Pivot!$J$37:$K$37</c:f>
              <c:strCache>
                <c:ptCount val="2"/>
                <c:pt idx="0">
                  <c:v>Network Issue</c:v>
                </c:pt>
                <c:pt idx="1">
                  <c:v> Power Issue</c:v>
                </c:pt>
              </c:strCache>
            </c:strRef>
          </c:cat>
          <c:val>
            <c:numRef>
              <c:f>Pivot!$J$38:$K$38</c:f>
              <c:numCache>
                <c:formatCode>General</c:formatCode>
                <c:ptCount val="2"/>
                <c:pt idx="0">
                  <c:v>11</c:v>
                </c:pt>
                <c:pt idx="1">
                  <c:v>52</c:v>
                </c:pt>
              </c:numCache>
            </c:numRef>
          </c:val>
          <c:extLst>
            <c:ext xmlns:c16="http://schemas.microsoft.com/office/drawing/2014/chart" uri="{C3380CC4-5D6E-409C-BE32-E72D297353CC}">
              <c16:uniqueId val="{00000000-B2FD-4E88-8D75-158BA15E6AA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0</xdr:col>
      <xdr:colOff>95251</xdr:colOff>
      <xdr:row>3</xdr:row>
      <xdr:rowOff>104774</xdr:rowOff>
    </xdr:from>
    <xdr:to>
      <xdr:col>2</xdr:col>
      <xdr:colOff>542925</xdr:colOff>
      <xdr:row>26</xdr:row>
      <xdr:rowOff>28575</xdr:rowOff>
    </xdr:to>
    <xdr:sp macro="" textlink="">
      <xdr:nvSpPr>
        <xdr:cNvPr id="2" name="Rectangle: Rounded Corners 1">
          <a:extLst>
            <a:ext uri="{FF2B5EF4-FFF2-40B4-BE49-F238E27FC236}">
              <a16:creationId xmlns:a16="http://schemas.microsoft.com/office/drawing/2014/main" id="{9D423BC5-5F1F-0F23-C662-6D327365DED5}"/>
            </a:ext>
          </a:extLst>
        </xdr:cNvPr>
        <xdr:cNvSpPr/>
      </xdr:nvSpPr>
      <xdr:spPr>
        <a:xfrm>
          <a:off x="95251" y="676274"/>
          <a:ext cx="1666874" cy="4305301"/>
        </a:xfrm>
        <a:prstGeom prst="roundRect">
          <a:avLst>
            <a:gd name="adj" fmla="val 4471"/>
          </a:avLst>
        </a:prstGeom>
        <a:solidFill>
          <a:srgbClr val="8497B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104775</xdr:colOff>
      <xdr:row>0</xdr:row>
      <xdr:rowOff>75330</xdr:rowOff>
    </xdr:from>
    <xdr:to>
      <xdr:col>20</xdr:col>
      <xdr:colOff>19055</xdr:colOff>
      <xdr:row>3</xdr:row>
      <xdr:rowOff>47623</xdr:rowOff>
    </xdr:to>
    <xdr:sp macro="" textlink="">
      <xdr:nvSpPr>
        <xdr:cNvPr id="3" name="Rectangle: Rounded Corners 2">
          <a:extLst>
            <a:ext uri="{FF2B5EF4-FFF2-40B4-BE49-F238E27FC236}">
              <a16:creationId xmlns:a16="http://schemas.microsoft.com/office/drawing/2014/main" id="{B68AFBE6-8ACD-468C-A49C-8477F231071F}"/>
            </a:ext>
          </a:extLst>
        </xdr:cNvPr>
        <xdr:cNvSpPr/>
      </xdr:nvSpPr>
      <xdr:spPr>
        <a:xfrm rot="16200000">
          <a:off x="5886018" y="-5705913"/>
          <a:ext cx="543793" cy="12106280"/>
        </a:xfrm>
        <a:prstGeom prst="roundRect">
          <a:avLst>
            <a:gd name="adj" fmla="val 6757"/>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87465</xdr:colOff>
      <xdr:row>3</xdr:row>
      <xdr:rowOff>122959</xdr:rowOff>
    </xdr:from>
    <xdr:to>
      <xdr:col>7</xdr:col>
      <xdr:colOff>38103</xdr:colOff>
      <xdr:row>8</xdr:row>
      <xdr:rowOff>47625</xdr:rowOff>
    </xdr:to>
    <xdr:sp macro="" textlink="">
      <xdr:nvSpPr>
        <xdr:cNvPr id="5" name="Rectangle: Rounded Corners 4">
          <a:extLst>
            <a:ext uri="{FF2B5EF4-FFF2-40B4-BE49-F238E27FC236}">
              <a16:creationId xmlns:a16="http://schemas.microsoft.com/office/drawing/2014/main" id="{38895FBC-B11D-481A-8377-2885AA08819B}"/>
            </a:ext>
          </a:extLst>
        </xdr:cNvPr>
        <xdr:cNvSpPr/>
      </xdr:nvSpPr>
      <xdr:spPr>
        <a:xfrm rot="16200000">
          <a:off x="2672201" y="-61477"/>
          <a:ext cx="877166" cy="2389038"/>
        </a:xfrm>
        <a:prstGeom prst="roundRect">
          <a:avLst>
            <a:gd name="adj" fmla="val 6757"/>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7</xdr:col>
      <xdr:colOff>271615</xdr:colOff>
      <xdr:row>3</xdr:row>
      <xdr:rowOff>122958</xdr:rowOff>
    </xdr:from>
    <xdr:to>
      <xdr:col>11</xdr:col>
      <xdr:colOff>222253</xdr:colOff>
      <xdr:row>8</xdr:row>
      <xdr:rowOff>57150</xdr:rowOff>
    </xdr:to>
    <xdr:sp macro="" textlink="">
      <xdr:nvSpPr>
        <xdr:cNvPr id="13" name="Rectangle: Rounded Corners 12">
          <a:extLst>
            <a:ext uri="{FF2B5EF4-FFF2-40B4-BE49-F238E27FC236}">
              <a16:creationId xmlns:a16="http://schemas.microsoft.com/office/drawing/2014/main" id="{1251BACB-A8DB-4BCD-B78E-841B46203DF6}"/>
            </a:ext>
          </a:extLst>
        </xdr:cNvPr>
        <xdr:cNvSpPr/>
      </xdr:nvSpPr>
      <xdr:spPr>
        <a:xfrm rot="16200000">
          <a:off x="5289988" y="-56715"/>
          <a:ext cx="886692" cy="2389038"/>
        </a:xfrm>
        <a:prstGeom prst="roundRect">
          <a:avLst>
            <a:gd name="adj" fmla="val 6757"/>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11</xdr:col>
      <xdr:colOff>420840</xdr:colOff>
      <xdr:row>3</xdr:row>
      <xdr:rowOff>151532</xdr:rowOff>
    </xdr:from>
    <xdr:to>
      <xdr:col>15</xdr:col>
      <xdr:colOff>371478</xdr:colOff>
      <xdr:row>8</xdr:row>
      <xdr:rowOff>57149</xdr:rowOff>
    </xdr:to>
    <xdr:sp macro="" textlink="">
      <xdr:nvSpPr>
        <xdr:cNvPr id="15" name="Rectangle: Rounded Corners 14">
          <a:extLst>
            <a:ext uri="{FF2B5EF4-FFF2-40B4-BE49-F238E27FC236}">
              <a16:creationId xmlns:a16="http://schemas.microsoft.com/office/drawing/2014/main" id="{9913A488-A9BD-4EE5-81FC-35F940812398}"/>
            </a:ext>
          </a:extLst>
        </xdr:cNvPr>
        <xdr:cNvSpPr/>
      </xdr:nvSpPr>
      <xdr:spPr>
        <a:xfrm rot="16200000">
          <a:off x="7891900" y="-42428"/>
          <a:ext cx="858117" cy="2389038"/>
        </a:xfrm>
        <a:prstGeom prst="roundRect">
          <a:avLst>
            <a:gd name="adj" fmla="val 6757"/>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209550</xdr:colOff>
      <xdr:row>0</xdr:row>
      <xdr:rowOff>9525</xdr:rowOff>
    </xdr:from>
    <xdr:to>
      <xdr:col>8</xdr:col>
      <xdr:colOff>47625</xdr:colOff>
      <xdr:row>3</xdr:row>
      <xdr:rowOff>85725</xdr:rowOff>
    </xdr:to>
    <xdr:sp macro="" textlink="">
      <xdr:nvSpPr>
        <xdr:cNvPr id="16" name="TextBox 15">
          <a:extLst>
            <a:ext uri="{FF2B5EF4-FFF2-40B4-BE49-F238E27FC236}">
              <a16:creationId xmlns:a16="http://schemas.microsoft.com/office/drawing/2014/main" id="{F8DDB187-6C1B-31D9-3F29-B365E46D279E}"/>
            </a:ext>
          </a:extLst>
        </xdr:cNvPr>
        <xdr:cNvSpPr txBox="1"/>
      </xdr:nvSpPr>
      <xdr:spPr>
        <a:xfrm>
          <a:off x="209550" y="9525"/>
          <a:ext cx="4714875" cy="647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b="1">
              <a:solidFill>
                <a:schemeClr val="accent6">
                  <a:lumMod val="20000"/>
                  <a:lumOff val="80000"/>
                </a:schemeClr>
              </a:solidFill>
            </a:rPr>
            <a:t>XYZ AI Seminar Audit</a:t>
          </a:r>
        </a:p>
      </xdr:txBody>
    </xdr:sp>
    <xdr:clientData/>
  </xdr:twoCellAnchor>
  <xdr:twoCellAnchor editAs="absolute">
    <xdr:from>
      <xdr:col>15</xdr:col>
      <xdr:colOff>152400</xdr:colOff>
      <xdr:row>0</xdr:row>
      <xdr:rowOff>161925</xdr:rowOff>
    </xdr:from>
    <xdr:to>
      <xdr:col>18</xdr:col>
      <xdr:colOff>95251</xdr:colOff>
      <xdr:row>2</xdr:row>
      <xdr:rowOff>85725</xdr:rowOff>
    </xdr:to>
    <xdr:sp macro="" textlink="">
      <xdr:nvSpPr>
        <xdr:cNvPr id="17" name="TextBox 16">
          <a:extLst>
            <a:ext uri="{FF2B5EF4-FFF2-40B4-BE49-F238E27FC236}">
              <a16:creationId xmlns:a16="http://schemas.microsoft.com/office/drawing/2014/main" id="{236D83A3-0026-495B-8561-D3FAC6D48D15}"/>
            </a:ext>
          </a:extLst>
        </xdr:cNvPr>
        <xdr:cNvSpPr txBox="1"/>
      </xdr:nvSpPr>
      <xdr:spPr>
        <a:xfrm>
          <a:off x="9296400" y="161925"/>
          <a:ext cx="1771651"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accent6">
                  <a:lumMod val="20000"/>
                  <a:lumOff val="80000"/>
                </a:schemeClr>
              </a:solidFill>
            </a:rPr>
            <a:t>Total Venue </a:t>
          </a:r>
          <a:r>
            <a:rPr lang="en-US" sz="1500" b="1">
              <a:solidFill>
                <a:schemeClr val="accent6">
                  <a:lumMod val="20000"/>
                  <a:lumOff val="80000"/>
                </a:schemeClr>
              </a:solidFill>
            </a:rPr>
            <a:t>Count</a:t>
          </a:r>
        </a:p>
      </xdr:txBody>
    </xdr:sp>
    <xdr:clientData/>
  </xdr:twoCellAnchor>
  <xdr:twoCellAnchor editAs="absolute">
    <xdr:from>
      <xdr:col>0</xdr:col>
      <xdr:colOff>133350</xdr:colOff>
      <xdr:row>3</xdr:row>
      <xdr:rowOff>180974</xdr:rowOff>
    </xdr:from>
    <xdr:to>
      <xdr:col>2</xdr:col>
      <xdr:colOff>495299</xdr:colOff>
      <xdr:row>16</xdr:row>
      <xdr:rowOff>133349</xdr:rowOff>
    </xdr:to>
    <mc:AlternateContent xmlns:mc="http://schemas.openxmlformats.org/markup-compatibility/2006" xmlns:a14="http://schemas.microsoft.com/office/drawing/2010/main">
      <mc:Choice Requires="a14">
        <xdr:graphicFrame macro="">
          <xdr:nvGraphicFramePr>
            <xdr:cNvPr id="20" name="Zone 1">
              <a:extLst>
                <a:ext uri="{FF2B5EF4-FFF2-40B4-BE49-F238E27FC236}">
                  <a16:creationId xmlns:a16="http://schemas.microsoft.com/office/drawing/2014/main" id="{E59AD389-FA02-4261-8446-1DEF9690596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Zone 1"/>
            </a:graphicData>
          </a:graphic>
        </xdr:graphicFrame>
      </mc:Choice>
      <mc:Fallback xmlns="">
        <xdr:sp macro="" textlink="">
          <xdr:nvSpPr>
            <xdr:cNvPr id="0" name=""/>
            <xdr:cNvSpPr>
              <a:spLocks noTextEdit="1"/>
            </xdr:cNvSpPr>
          </xdr:nvSpPr>
          <xdr:spPr>
            <a:xfrm>
              <a:off x="133350" y="752474"/>
              <a:ext cx="1581149" cy="2428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18</xdr:col>
      <xdr:colOff>38101</xdr:colOff>
      <xdr:row>0</xdr:row>
      <xdr:rowOff>0</xdr:rowOff>
    </xdr:from>
    <xdr:to>
      <xdr:col>19</xdr:col>
      <xdr:colOff>523875</xdr:colOff>
      <xdr:row>4</xdr:row>
      <xdr:rowOff>0</xdr:rowOff>
    </xdr:to>
    <xdr:sp macro="" textlink="Pivot!E16">
      <xdr:nvSpPr>
        <xdr:cNvPr id="19" name="TextBox 18">
          <a:extLst>
            <a:ext uri="{FF2B5EF4-FFF2-40B4-BE49-F238E27FC236}">
              <a16:creationId xmlns:a16="http://schemas.microsoft.com/office/drawing/2014/main" id="{A077C029-7A95-4F42-A916-517EE7379DF5}"/>
            </a:ext>
          </a:extLst>
        </xdr:cNvPr>
        <xdr:cNvSpPr txBox="1"/>
      </xdr:nvSpPr>
      <xdr:spPr>
        <a:xfrm>
          <a:off x="11010901" y="0"/>
          <a:ext cx="1095374"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A0DD5C-0824-4BDC-B92B-78367A22A702}" type="TxLink">
            <a:rPr lang="en-US" sz="3600" b="1" i="0" u="none" strike="noStrike">
              <a:solidFill>
                <a:schemeClr val="accent4">
                  <a:lumMod val="40000"/>
                  <a:lumOff val="60000"/>
                </a:schemeClr>
              </a:solidFill>
              <a:latin typeface="Calibri"/>
              <a:ea typeface="Calibri"/>
              <a:cs typeface="Calibri"/>
            </a:rPr>
            <a:pPr/>
            <a:t>347</a:t>
          </a:fld>
          <a:endParaRPr lang="en-US" sz="3600" b="1">
            <a:solidFill>
              <a:schemeClr val="accent4">
                <a:lumMod val="40000"/>
                <a:lumOff val="60000"/>
              </a:schemeClr>
            </a:solidFill>
          </a:endParaRPr>
        </a:p>
      </xdr:txBody>
    </xdr:sp>
    <xdr:clientData/>
  </xdr:twoCellAnchor>
  <xdr:twoCellAnchor editAs="absolute">
    <xdr:from>
      <xdr:col>3</xdr:col>
      <xdr:colOff>104777</xdr:colOff>
      <xdr:row>3</xdr:row>
      <xdr:rowOff>161925</xdr:rowOff>
    </xdr:from>
    <xdr:to>
      <xdr:col>5</xdr:col>
      <xdr:colOff>381000</xdr:colOff>
      <xdr:row>5</xdr:row>
      <xdr:rowOff>123825</xdr:rowOff>
    </xdr:to>
    <xdr:sp macro="" textlink="">
      <xdr:nvSpPr>
        <xdr:cNvPr id="24" name="TextBox 23">
          <a:extLst>
            <a:ext uri="{FF2B5EF4-FFF2-40B4-BE49-F238E27FC236}">
              <a16:creationId xmlns:a16="http://schemas.microsoft.com/office/drawing/2014/main" id="{D736CCB3-3762-47D8-8394-BBC16EDC86DC}"/>
            </a:ext>
          </a:extLst>
        </xdr:cNvPr>
        <xdr:cNvSpPr txBox="1"/>
      </xdr:nvSpPr>
      <xdr:spPr>
        <a:xfrm>
          <a:off x="1933577" y="733425"/>
          <a:ext cx="149542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20000"/>
                  <a:lumOff val="80000"/>
                </a:schemeClr>
              </a:solidFill>
            </a:rPr>
            <a:t>Network Compliance</a:t>
          </a:r>
        </a:p>
      </xdr:txBody>
    </xdr:sp>
    <xdr:clientData/>
  </xdr:twoCellAnchor>
  <xdr:twoCellAnchor editAs="absolute">
    <xdr:from>
      <xdr:col>3</xdr:col>
      <xdr:colOff>344640</xdr:colOff>
      <xdr:row>4</xdr:row>
      <xdr:rowOff>189633</xdr:rowOff>
    </xdr:from>
    <xdr:to>
      <xdr:col>5</xdr:col>
      <xdr:colOff>19049</xdr:colOff>
      <xdr:row>7</xdr:row>
      <xdr:rowOff>104774</xdr:rowOff>
    </xdr:to>
    <xdr:sp macro="" textlink="Pivot!$P$8">
      <xdr:nvSpPr>
        <xdr:cNvPr id="25" name="TextBox 24">
          <a:extLst>
            <a:ext uri="{FF2B5EF4-FFF2-40B4-BE49-F238E27FC236}">
              <a16:creationId xmlns:a16="http://schemas.microsoft.com/office/drawing/2014/main" id="{801E120B-99BF-41FD-BA11-BE93EEB116BF}"/>
            </a:ext>
          </a:extLst>
        </xdr:cNvPr>
        <xdr:cNvSpPr txBox="1"/>
      </xdr:nvSpPr>
      <xdr:spPr>
        <a:xfrm>
          <a:off x="2173440" y="951633"/>
          <a:ext cx="893609"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834410-CE1C-4357-BB76-68DF71453E01}" type="TxLink">
            <a:rPr lang="en-US" sz="2800" b="1" i="0" u="none" strike="noStrike">
              <a:solidFill>
                <a:schemeClr val="bg1">
                  <a:lumMod val="95000"/>
                </a:schemeClr>
              </a:solidFill>
              <a:latin typeface="Calibri"/>
              <a:ea typeface="Calibri"/>
              <a:cs typeface="Calibri"/>
            </a:rPr>
            <a:pPr marL="0" indent="0"/>
            <a:t>234</a:t>
          </a:fld>
          <a:endParaRPr lang="en-US" sz="2800" b="1" i="0" u="none" strike="noStrike">
            <a:solidFill>
              <a:schemeClr val="bg1">
                <a:lumMod val="95000"/>
              </a:schemeClr>
            </a:solidFill>
            <a:latin typeface="Calibri"/>
            <a:ea typeface="Calibri"/>
            <a:cs typeface="Calibri"/>
          </a:endParaRPr>
        </a:p>
      </xdr:txBody>
    </xdr:sp>
    <xdr:clientData/>
  </xdr:twoCellAnchor>
  <xdr:twoCellAnchor editAs="absolute">
    <xdr:from>
      <xdr:col>5</xdr:col>
      <xdr:colOff>114300</xdr:colOff>
      <xdr:row>3</xdr:row>
      <xdr:rowOff>19050</xdr:rowOff>
    </xdr:from>
    <xdr:to>
      <xdr:col>7</xdr:col>
      <xdr:colOff>342900</xdr:colOff>
      <xdr:row>8</xdr:row>
      <xdr:rowOff>166687</xdr:rowOff>
    </xdr:to>
    <xdr:graphicFrame macro="">
      <xdr:nvGraphicFramePr>
        <xdr:cNvPr id="26" name="Chart 25">
          <a:extLst>
            <a:ext uri="{FF2B5EF4-FFF2-40B4-BE49-F238E27FC236}">
              <a16:creationId xmlns:a16="http://schemas.microsoft.com/office/drawing/2014/main" id="{48CE4120-E3F5-4DE9-8B93-0FC24C2A08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xdr:col>
      <xdr:colOff>430366</xdr:colOff>
      <xdr:row>5</xdr:row>
      <xdr:rowOff>46759</xdr:rowOff>
    </xdr:from>
    <xdr:to>
      <xdr:col>6</xdr:col>
      <xdr:colOff>466725</xdr:colOff>
      <xdr:row>7</xdr:row>
      <xdr:rowOff>133351</xdr:rowOff>
    </xdr:to>
    <xdr:sp macro="" textlink="Pivot!$Q$8">
      <xdr:nvSpPr>
        <xdr:cNvPr id="27" name="TextBox 26">
          <a:extLst>
            <a:ext uri="{FF2B5EF4-FFF2-40B4-BE49-F238E27FC236}">
              <a16:creationId xmlns:a16="http://schemas.microsoft.com/office/drawing/2014/main" id="{FC082656-5B71-4563-8518-C5EC689DF019}"/>
            </a:ext>
          </a:extLst>
        </xdr:cNvPr>
        <xdr:cNvSpPr txBox="1"/>
      </xdr:nvSpPr>
      <xdr:spPr>
        <a:xfrm>
          <a:off x="3478366" y="999259"/>
          <a:ext cx="645959" cy="467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AE9C13F-AFED-41AC-A329-E9BB9157ADD3}" type="TxLink">
            <a:rPr lang="en-US" sz="1100" b="1" i="0" u="none" strike="noStrike">
              <a:solidFill>
                <a:schemeClr val="bg1">
                  <a:lumMod val="95000"/>
                </a:schemeClr>
              </a:solidFill>
              <a:latin typeface="Calibri"/>
              <a:ea typeface="Calibri"/>
              <a:cs typeface="Calibri"/>
            </a:rPr>
            <a:pPr marL="0" indent="0"/>
            <a:t>67.44%</a:t>
          </a:fld>
          <a:endParaRPr lang="en-US" sz="2400" b="1" i="0" u="none" strike="noStrike">
            <a:solidFill>
              <a:schemeClr val="bg1">
                <a:lumMod val="95000"/>
              </a:schemeClr>
            </a:solidFill>
            <a:latin typeface="Calibri"/>
            <a:ea typeface="Calibri"/>
            <a:cs typeface="Calibri"/>
          </a:endParaRPr>
        </a:p>
      </xdr:txBody>
    </xdr:sp>
    <xdr:clientData/>
  </xdr:twoCellAnchor>
  <xdr:twoCellAnchor editAs="absolute">
    <xdr:from>
      <xdr:col>7</xdr:col>
      <xdr:colOff>257177</xdr:colOff>
      <xdr:row>3</xdr:row>
      <xdr:rowOff>142875</xdr:rowOff>
    </xdr:from>
    <xdr:to>
      <xdr:col>9</xdr:col>
      <xdr:colOff>533400</xdr:colOff>
      <xdr:row>5</xdr:row>
      <xdr:rowOff>104775</xdr:rowOff>
    </xdr:to>
    <xdr:sp macro="" textlink="">
      <xdr:nvSpPr>
        <xdr:cNvPr id="4" name="TextBox 3">
          <a:extLst>
            <a:ext uri="{FF2B5EF4-FFF2-40B4-BE49-F238E27FC236}">
              <a16:creationId xmlns:a16="http://schemas.microsoft.com/office/drawing/2014/main" id="{512E0382-C9EE-46DE-B000-7E33464320A9}"/>
            </a:ext>
          </a:extLst>
        </xdr:cNvPr>
        <xdr:cNvSpPr txBox="1"/>
      </xdr:nvSpPr>
      <xdr:spPr>
        <a:xfrm>
          <a:off x="4524377" y="714375"/>
          <a:ext cx="1495423"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6">
                  <a:lumMod val="20000"/>
                  <a:lumOff val="80000"/>
                </a:schemeClr>
              </a:solidFill>
            </a:rPr>
            <a:t>Power Compliance</a:t>
          </a:r>
        </a:p>
      </xdr:txBody>
    </xdr:sp>
    <xdr:clientData/>
  </xdr:twoCellAnchor>
  <xdr:twoCellAnchor editAs="absolute">
    <xdr:from>
      <xdr:col>9</xdr:col>
      <xdr:colOff>563716</xdr:colOff>
      <xdr:row>5</xdr:row>
      <xdr:rowOff>46760</xdr:rowOff>
    </xdr:from>
    <xdr:to>
      <xdr:col>11</xdr:col>
      <xdr:colOff>381000</xdr:colOff>
      <xdr:row>8</xdr:row>
      <xdr:rowOff>142875</xdr:rowOff>
    </xdr:to>
    <xdr:sp macro="" textlink="Pivot!V8">
      <xdr:nvSpPr>
        <xdr:cNvPr id="6" name="TextBox 5">
          <a:extLst>
            <a:ext uri="{FF2B5EF4-FFF2-40B4-BE49-F238E27FC236}">
              <a16:creationId xmlns:a16="http://schemas.microsoft.com/office/drawing/2014/main" id="{55038E9F-A42E-4BAD-AACE-60414BADD14C}"/>
            </a:ext>
          </a:extLst>
        </xdr:cNvPr>
        <xdr:cNvSpPr txBox="1"/>
      </xdr:nvSpPr>
      <xdr:spPr>
        <a:xfrm>
          <a:off x="6050116" y="999260"/>
          <a:ext cx="1036484" cy="667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DD8AF64-BD3D-43AE-A9D5-B10F5988ABD6}" type="TxLink">
            <a:rPr lang="en-US" sz="1100" b="1" i="0" u="none" strike="noStrike">
              <a:solidFill>
                <a:schemeClr val="bg1">
                  <a:lumMod val="95000"/>
                </a:schemeClr>
              </a:solidFill>
              <a:latin typeface="Calibri"/>
              <a:ea typeface="Calibri"/>
              <a:cs typeface="Calibri"/>
            </a:rPr>
            <a:pPr marL="0" indent="0"/>
            <a:t>65.99%</a:t>
          </a:fld>
          <a:endParaRPr lang="en-US" sz="1100" b="1" i="0" u="none" strike="noStrike">
            <a:solidFill>
              <a:schemeClr val="bg1">
                <a:lumMod val="95000"/>
              </a:schemeClr>
            </a:solidFill>
            <a:latin typeface="Calibri"/>
            <a:ea typeface="Calibri"/>
            <a:cs typeface="Calibri"/>
          </a:endParaRPr>
        </a:p>
      </xdr:txBody>
    </xdr:sp>
    <xdr:clientData/>
  </xdr:twoCellAnchor>
  <xdr:twoCellAnchor editAs="absolute">
    <xdr:from>
      <xdr:col>7</xdr:col>
      <xdr:colOff>411315</xdr:colOff>
      <xdr:row>4</xdr:row>
      <xdr:rowOff>189633</xdr:rowOff>
    </xdr:from>
    <xdr:to>
      <xdr:col>9</xdr:col>
      <xdr:colOff>133350</xdr:colOff>
      <xdr:row>7</xdr:row>
      <xdr:rowOff>104774</xdr:rowOff>
    </xdr:to>
    <xdr:sp macro="" textlink="Pivot!U8">
      <xdr:nvSpPr>
        <xdr:cNvPr id="7" name="TextBox 6">
          <a:extLst>
            <a:ext uri="{FF2B5EF4-FFF2-40B4-BE49-F238E27FC236}">
              <a16:creationId xmlns:a16="http://schemas.microsoft.com/office/drawing/2014/main" id="{4E2F0DEF-7F81-4414-9510-95BF659B029F}"/>
            </a:ext>
          </a:extLst>
        </xdr:cNvPr>
        <xdr:cNvSpPr txBox="1"/>
      </xdr:nvSpPr>
      <xdr:spPr>
        <a:xfrm>
          <a:off x="4678515" y="951633"/>
          <a:ext cx="941235"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9E4A966-1FB8-4B06-8410-D16CCBBB3ED1}" type="TxLink">
            <a:rPr lang="en-US" sz="2800" b="1" i="0" u="none" strike="noStrike">
              <a:solidFill>
                <a:schemeClr val="bg1">
                  <a:lumMod val="95000"/>
                </a:schemeClr>
              </a:solidFill>
              <a:latin typeface="Calibri"/>
              <a:ea typeface="Calibri"/>
              <a:cs typeface="Calibri"/>
            </a:rPr>
            <a:pPr marL="0" indent="0"/>
            <a:t>229</a:t>
          </a:fld>
          <a:endParaRPr lang="en-US" sz="2800" b="1" i="0" u="none" strike="noStrike">
            <a:solidFill>
              <a:schemeClr val="bg1">
                <a:lumMod val="95000"/>
              </a:schemeClr>
            </a:solidFill>
            <a:latin typeface="Calibri"/>
            <a:ea typeface="Calibri"/>
            <a:cs typeface="Calibri"/>
          </a:endParaRPr>
        </a:p>
      </xdr:txBody>
    </xdr:sp>
    <xdr:clientData/>
  </xdr:twoCellAnchor>
  <xdr:twoCellAnchor editAs="absolute">
    <xdr:from>
      <xdr:col>9</xdr:col>
      <xdr:colOff>142875</xdr:colOff>
      <xdr:row>3</xdr:row>
      <xdr:rowOff>37234</xdr:rowOff>
    </xdr:from>
    <xdr:to>
      <xdr:col>11</xdr:col>
      <xdr:colOff>371475</xdr:colOff>
      <xdr:row>8</xdr:row>
      <xdr:rowOff>142876</xdr:rowOff>
    </xdr:to>
    <xdr:graphicFrame macro="">
      <xdr:nvGraphicFramePr>
        <xdr:cNvPr id="8" name="Chart 7">
          <a:extLst>
            <a:ext uri="{FF2B5EF4-FFF2-40B4-BE49-F238E27FC236}">
              <a16:creationId xmlns:a16="http://schemas.microsoft.com/office/drawing/2014/main" id="{5488C336-0F88-4423-B741-19F001853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3</xdr:col>
      <xdr:colOff>74766</xdr:colOff>
      <xdr:row>8</xdr:row>
      <xdr:rowOff>132482</xdr:rowOff>
    </xdr:from>
    <xdr:to>
      <xdr:col>6</xdr:col>
      <xdr:colOff>171451</xdr:colOff>
      <xdr:row>26</xdr:row>
      <xdr:rowOff>38100</xdr:rowOff>
    </xdr:to>
    <xdr:sp macro="" textlink="">
      <xdr:nvSpPr>
        <xdr:cNvPr id="9" name="Rectangle: Rounded Corners 8">
          <a:extLst>
            <a:ext uri="{FF2B5EF4-FFF2-40B4-BE49-F238E27FC236}">
              <a16:creationId xmlns:a16="http://schemas.microsoft.com/office/drawing/2014/main" id="{49D01D11-96A5-4CE7-868F-2FA22A2C1773}"/>
            </a:ext>
          </a:extLst>
        </xdr:cNvPr>
        <xdr:cNvSpPr/>
      </xdr:nvSpPr>
      <xdr:spPr>
        <a:xfrm rot="16200000">
          <a:off x="1199000" y="2361048"/>
          <a:ext cx="3334618" cy="1925485"/>
        </a:xfrm>
        <a:prstGeom prst="roundRect">
          <a:avLst>
            <a:gd name="adj" fmla="val 1810"/>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3</xdr:col>
      <xdr:colOff>180977</xdr:colOff>
      <xdr:row>13</xdr:row>
      <xdr:rowOff>9525</xdr:rowOff>
    </xdr:from>
    <xdr:to>
      <xdr:col>4</xdr:col>
      <xdr:colOff>428624</xdr:colOff>
      <xdr:row>14</xdr:row>
      <xdr:rowOff>161925</xdr:rowOff>
    </xdr:to>
    <xdr:sp macro="" textlink="">
      <xdr:nvSpPr>
        <xdr:cNvPr id="11" name="TextBox 10">
          <a:extLst>
            <a:ext uri="{FF2B5EF4-FFF2-40B4-BE49-F238E27FC236}">
              <a16:creationId xmlns:a16="http://schemas.microsoft.com/office/drawing/2014/main" id="{D5F41E89-3190-4E5F-93C8-422A6E3F3DA5}"/>
            </a:ext>
          </a:extLst>
        </xdr:cNvPr>
        <xdr:cNvSpPr txBox="1"/>
      </xdr:nvSpPr>
      <xdr:spPr>
        <a:xfrm>
          <a:off x="2009777" y="2486025"/>
          <a:ext cx="85724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2">
                  <a:lumMod val="60000"/>
                  <a:lumOff val="40000"/>
                </a:schemeClr>
              </a:solidFill>
            </a:rPr>
            <a:t>Shift</a:t>
          </a:r>
          <a:r>
            <a:rPr lang="en-US" sz="1800" b="1" baseline="0">
              <a:solidFill>
                <a:schemeClr val="accent2">
                  <a:lumMod val="60000"/>
                  <a:lumOff val="40000"/>
                </a:schemeClr>
              </a:solidFill>
            </a:rPr>
            <a:t> 1</a:t>
          </a:r>
          <a:endParaRPr lang="en-US" sz="1800" b="1">
            <a:solidFill>
              <a:schemeClr val="accent2">
                <a:lumMod val="60000"/>
                <a:lumOff val="40000"/>
              </a:schemeClr>
            </a:solidFill>
          </a:endParaRPr>
        </a:p>
      </xdr:txBody>
    </xdr:sp>
    <xdr:clientData/>
  </xdr:twoCellAnchor>
  <xdr:twoCellAnchor editAs="absolute">
    <xdr:from>
      <xdr:col>4</xdr:col>
      <xdr:colOff>417666</xdr:colOff>
      <xdr:row>12</xdr:row>
      <xdr:rowOff>170583</xdr:rowOff>
    </xdr:from>
    <xdr:to>
      <xdr:col>7</xdr:col>
      <xdr:colOff>19050</xdr:colOff>
      <xdr:row>15</xdr:row>
      <xdr:rowOff>85724</xdr:rowOff>
    </xdr:to>
    <xdr:sp macro="" textlink="Pivot!O26">
      <xdr:nvSpPr>
        <xdr:cNvPr id="12" name="TextBox 11">
          <a:extLst>
            <a:ext uri="{FF2B5EF4-FFF2-40B4-BE49-F238E27FC236}">
              <a16:creationId xmlns:a16="http://schemas.microsoft.com/office/drawing/2014/main" id="{6EE167A5-F384-4E82-B5F2-48920DB3E2CF}"/>
            </a:ext>
          </a:extLst>
        </xdr:cNvPr>
        <xdr:cNvSpPr txBox="1"/>
      </xdr:nvSpPr>
      <xdr:spPr>
        <a:xfrm>
          <a:off x="2856066" y="2456583"/>
          <a:ext cx="1430184"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313F227-0FC0-42CF-9DED-D72DCB78D4DF}" type="TxLink">
            <a:rPr lang="en-US" sz="2000" b="1" i="0" u="none" strike="noStrike">
              <a:solidFill>
                <a:schemeClr val="accent2">
                  <a:lumMod val="60000"/>
                  <a:lumOff val="40000"/>
                </a:schemeClr>
              </a:solidFill>
              <a:latin typeface="Calibri"/>
              <a:ea typeface="Calibri"/>
              <a:cs typeface="Calibri"/>
            </a:rPr>
            <a:pPr marL="0" indent="0"/>
            <a:t>613377</a:t>
          </a:fld>
          <a:endParaRPr lang="en-US" sz="2000" b="1" i="0" u="none" strike="noStrike">
            <a:solidFill>
              <a:schemeClr val="accent2">
                <a:lumMod val="60000"/>
                <a:lumOff val="40000"/>
              </a:schemeClr>
            </a:solidFill>
            <a:latin typeface="Calibri"/>
            <a:ea typeface="Calibri"/>
            <a:cs typeface="Calibri"/>
          </a:endParaRPr>
        </a:p>
      </xdr:txBody>
    </xdr:sp>
    <xdr:clientData/>
  </xdr:twoCellAnchor>
  <xdr:twoCellAnchor editAs="absolute">
    <xdr:from>
      <xdr:col>3</xdr:col>
      <xdr:colOff>152402</xdr:colOff>
      <xdr:row>15</xdr:row>
      <xdr:rowOff>152400</xdr:rowOff>
    </xdr:from>
    <xdr:to>
      <xdr:col>4</xdr:col>
      <xdr:colOff>323849</xdr:colOff>
      <xdr:row>17</xdr:row>
      <xdr:rowOff>114300</xdr:rowOff>
    </xdr:to>
    <xdr:sp macro="" textlink="">
      <xdr:nvSpPr>
        <xdr:cNvPr id="18" name="TextBox 17">
          <a:extLst>
            <a:ext uri="{FF2B5EF4-FFF2-40B4-BE49-F238E27FC236}">
              <a16:creationId xmlns:a16="http://schemas.microsoft.com/office/drawing/2014/main" id="{A5F6AA0E-DAE6-4058-9067-CE6BD6D73E06}"/>
            </a:ext>
          </a:extLst>
        </xdr:cNvPr>
        <xdr:cNvSpPr txBox="1"/>
      </xdr:nvSpPr>
      <xdr:spPr>
        <a:xfrm>
          <a:off x="1981202" y="3009900"/>
          <a:ext cx="78104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60000"/>
                  <a:lumOff val="40000"/>
                </a:schemeClr>
              </a:solidFill>
              <a:latin typeface="+mn-lt"/>
              <a:ea typeface="+mn-ea"/>
              <a:cs typeface="+mn-cs"/>
            </a:rPr>
            <a:t>Shift</a:t>
          </a:r>
          <a:r>
            <a:rPr lang="en-US" sz="1100" b="1" baseline="0">
              <a:solidFill>
                <a:schemeClr val="accent6">
                  <a:lumMod val="60000"/>
                  <a:lumOff val="40000"/>
                </a:schemeClr>
              </a:solidFill>
            </a:rPr>
            <a:t> </a:t>
          </a:r>
          <a:r>
            <a:rPr lang="en-US" sz="1800" b="1" baseline="0">
              <a:solidFill>
                <a:schemeClr val="accent6">
                  <a:lumMod val="60000"/>
                  <a:lumOff val="40000"/>
                </a:schemeClr>
              </a:solidFill>
            </a:rPr>
            <a:t>2</a:t>
          </a:r>
          <a:endParaRPr lang="en-US" sz="1800" b="1">
            <a:solidFill>
              <a:schemeClr val="accent6">
                <a:lumMod val="60000"/>
                <a:lumOff val="40000"/>
              </a:schemeClr>
            </a:solidFill>
          </a:endParaRPr>
        </a:p>
      </xdr:txBody>
    </xdr:sp>
    <xdr:clientData/>
  </xdr:twoCellAnchor>
  <xdr:twoCellAnchor editAs="absolute">
    <xdr:from>
      <xdr:col>4</xdr:col>
      <xdr:colOff>417666</xdr:colOff>
      <xdr:row>15</xdr:row>
      <xdr:rowOff>122958</xdr:rowOff>
    </xdr:from>
    <xdr:to>
      <xdr:col>6</xdr:col>
      <xdr:colOff>371475</xdr:colOff>
      <xdr:row>18</xdr:row>
      <xdr:rowOff>38099</xdr:rowOff>
    </xdr:to>
    <xdr:sp macro="" textlink="Pivot!P26">
      <xdr:nvSpPr>
        <xdr:cNvPr id="21" name="TextBox 20">
          <a:extLst>
            <a:ext uri="{FF2B5EF4-FFF2-40B4-BE49-F238E27FC236}">
              <a16:creationId xmlns:a16="http://schemas.microsoft.com/office/drawing/2014/main" id="{8B8EA220-8D43-4063-A48B-20EA1AA3376D}"/>
            </a:ext>
          </a:extLst>
        </xdr:cNvPr>
        <xdr:cNvSpPr txBox="1"/>
      </xdr:nvSpPr>
      <xdr:spPr>
        <a:xfrm>
          <a:off x="2856066" y="2980458"/>
          <a:ext cx="1173009"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A63AFA7-B5B4-4220-9E2D-35801D261BE1}" type="TxLink">
            <a:rPr lang="en-US" sz="2000" b="1" i="0" u="none" strike="noStrike">
              <a:solidFill>
                <a:schemeClr val="accent6">
                  <a:lumMod val="60000"/>
                  <a:lumOff val="40000"/>
                </a:schemeClr>
              </a:solidFill>
              <a:latin typeface="Calibri"/>
              <a:ea typeface="Calibri"/>
              <a:cs typeface="Calibri"/>
            </a:rPr>
            <a:pPr marL="0" indent="0"/>
            <a:t>613540</a:t>
          </a:fld>
          <a:endParaRPr lang="en-US" sz="2000" b="1" i="0" u="none" strike="noStrike">
            <a:solidFill>
              <a:schemeClr val="accent6">
                <a:lumMod val="60000"/>
                <a:lumOff val="40000"/>
              </a:schemeClr>
            </a:solidFill>
            <a:latin typeface="Calibri"/>
            <a:ea typeface="Calibri"/>
            <a:cs typeface="Calibri"/>
          </a:endParaRPr>
        </a:p>
      </xdr:txBody>
    </xdr:sp>
    <xdr:clientData/>
  </xdr:twoCellAnchor>
  <xdr:twoCellAnchor editAs="absolute">
    <xdr:from>
      <xdr:col>3</xdr:col>
      <xdr:colOff>171452</xdr:colOff>
      <xdr:row>18</xdr:row>
      <xdr:rowOff>142875</xdr:rowOff>
    </xdr:from>
    <xdr:to>
      <xdr:col>4</xdr:col>
      <xdr:colOff>495299</xdr:colOff>
      <xdr:row>20</xdr:row>
      <xdr:rowOff>104775</xdr:rowOff>
    </xdr:to>
    <xdr:sp macro="" textlink="">
      <xdr:nvSpPr>
        <xdr:cNvPr id="22" name="TextBox 21">
          <a:extLst>
            <a:ext uri="{FF2B5EF4-FFF2-40B4-BE49-F238E27FC236}">
              <a16:creationId xmlns:a16="http://schemas.microsoft.com/office/drawing/2014/main" id="{64505E6D-7A9E-45C2-92BD-82E9D6FDA175}"/>
            </a:ext>
          </a:extLst>
        </xdr:cNvPr>
        <xdr:cNvSpPr txBox="1"/>
      </xdr:nvSpPr>
      <xdr:spPr>
        <a:xfrm>
          <a:off x="2000252" y="3571875"/>
          <a:ext cx="93344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1">
                  <a:lumMod val="40000"/>
                  <a:lumOff val="60000"/>
                </a:schemeClr>
              </a:solidFill>
              <a:latin typeface="+mn-lt"/>
              <a:ea typeface="+mn-ea"/>
              <a:cs typeface="+mn-cs"/>
            </a:rPr>
            <a:t>Shift</a:t>
          </a:r>
          <a:r>
            <a:rPr lang="en-US" sz="1800" b="1" baseline="0">
              <a:solidFill>
                <a:schemeClr val="accent1">
                  <a:lumMod val="40000"/>
                  <a:lumOff val="60000"/>
                </a:schemeClr>
              </a:solidFill>
            </a:rPr>
            <a:t> 3</a:t>
          </a:r>
          <a:endParaRPr lang="en-US" sz="1800" b="1">
            <a:solidFill>
              <a:schemeClr val="accent1">
                <a:lumMod val="40000"/>
                <a:lumOff val="60000"/>
              </a:schemeClr>
            </a:solidFill>
          </a:endParaRPr>
        </a:p>
      </xdr:txBody>
    </xdr:sp>
    <xdr:clientData/>
  </xdr:twoCellAnchor>
  <xdr:twoCellAnchor editAs="absolute">
    <xdr:from>
      <xdr:col>4</xdr:col>
      <xdr:colOff>436716</xdr:colOff>
      <xdr:row>18</xdr:row>
      <xdr:rowOff>103908</xdr:rowOff>
    </xdr:from>
    <xdr:to>
      <xdr:col>6</xdr:col>
      <xdr:colOff>361950</xdr:colOff>
      <xdr:row>21</xdr:row>
      <xdr:rowOff>19049</xdr:rowOff>
    </xdr:to>
    <xdr:sp macro="" textlink="Pivot!Q26">
      <xdr:nvSpPr>
        <xdr:cNvPr id="23" name="TextBox 22">
          <a:extLst>
            <a:ext uri="{FF2B5EF4-FFF2-40B4-BE49-F238E27FC236}">
              <a16:creationId xmlns:a16="http://schemas.microsoft.com/office/drawing/2014/main" id="{7E2441FC-FEBB-4982-B54D-2CC2D3DEB855}"/>
            </a:ext>
          </a:extLst>
        </xdr:cNvPr>
        <xdr:cNvSpPr txBox="1"/>
      </xdr:nvSpPr>
      <xdr:spPr>
        <a:xfrm>
          <a:off x="2875116" y="3532908"/>
          <a:ext cx="1144434"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8B2CE3E-854A-447D-A987-90BDEA6BE61E}" type="TxLink">
            <a:rPr lang="en-US" sz="2000" b="1" i="0" u="none" strike="noStrike">
              <a:solidFill>
                <a:schemeClr val="accent1">
                  <a:lumMod val="40000"/>
                  <a:lumOff val="60000"/>
                </a:schemeClr>
              </a:solidFill>
              <a:latin typeface="Calibri"/>
              <a:ea typeface="Calibri"/>
              <a:cs typeface="Calibri"/>
            </a:rPr>
            <a:pPr marL="0" indent="0"/>
            <a:t>613166</a:t>
          </a:fld>
          <a:endParaRPr lang="en-US" sz="2000" b="1" i="0" u="none" strike="noStrike">
            <a:solidFill>
              <a:schemeClr val="accent1">
                <a:lumMod val="40000"/>
                <a:lumOff val="60000"/>
              </a:schemeClr>
            </a:solidFill>
            <a:latin typeface="Calibri"/>
            <a:ea typeface="Calibri"/>
            <a:cs typeface="Calibri"/>
          </a:endParaRPr>
        </a:p>
      </xdr:txBody>
    </xdr:sp>
    <xdr:clientData/>
  </xdr:twoCellAnchor>
  <xdr:twoCellAnchor editAs="absolute">
    <xdr:from>
      <xdr:col>3</xdr:col>
      <xdr:colOff>219078</xdr:colOff>
      <xdr:row>21</xdr:row>
      <xdr:rowOff>114300</xdr:rowOff>
    </xdr:from>
    <xdr:to>
      <xdr:col>4</xdr:col>
      <xdr:colOff>361950</xdr:colOff>
      <xdr:row>23</xdr:row>
      <xdr:rowOff>76200</xdr:rowOff>
    </xdr:to>
    <xdr:sp macro="" textlink="">
      <xdr:nvSpPr>
        <xdr:cNvPr id="28" name="TextBox 27">
          <a:extLst>
            <a:ext uri="{FF2B5EF4-FFF2-40B4-BE49-F238E27FC236}">
              <a16:creationId xmlns:a16="http://schemas.microsoft.com/office/drawing/2014/main" id="{EBD25F2B-BF2A-4695-9776-F0E80BD93990}"/>
            </a:ext>
          </a:extLst>
        </xdr:cNvPr>
        <xdr:cNvSpPr txBox="1"/>
      </xdr:nvSpPr>
      <xdr:spPr>
        <a:xfrm>
          <a:off x="2047878" y="4114800"/>
          <a:ext cx="752472"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5"/>
              </a:solidFill>
              <a:latin typeface="+mn-lt"/>
              <a:ea typeface="+mn-ea"/>
              <a:cs typeface="+mn-cs"/>
            </a:rPr>
            <a:t>Max</a:t>
          </a:r>
        </a:p>
      </xdr:txBody>
    </xdr:sp>
    <xdr:clientData/>
  </xdr:twoCellAnchor>
  <xdr:twoCellAnchor editAs="absolute">
    <xdr:from>
      <xdr:col>4</xdr:col>
      <xdr:colOff>398616</xdr:colOff>
      <xdr:row>21</xdr:row>
      <xdr:rowOff>84858</xdr:rowOff>
    </xdr:from>
    <xdr:to>
      <xdr:col>6</xdr:col>
      <xdr:colOff>304800</xdr:colOff>
      <xdr:row>23</xdr:row>
      <xdr:rowOff>190499</xdr:rowOff>
    </xdr:to>
    <xdr:sp macro="" textlink="Pivot!R33">
      <xdr:nvSpPr>
        <xdr:cNvPr id="29" name="TextBox 28">
          <a:extLst>
            <a:ext uri="{FF2B5EF4-FFF2-40B4-BE49-F238E27FC236}">
              <a16:creationId xmlns:a16="http://schemas.microsoft.com/office/drawing/2014/main" id="{3E341777-3366-4285-A501-FE0C1F363249}"/>
            </a:ext>
          </a:extLst>
        </xdr:cNvPr>
        <xdr:cNvSpPr txBox="1"/>
      </xdr:nvSpPr>
      <xdr:spPr>
        <a:xfrm>
          <a:off x="2837016" y="4085358"/>
          <a:ext cx="1125384" cy="486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C0E4AA0-09F4-4B48-88D3-9549ED923C07}" type="TxLink">
            <a:rPr lang="en-US" sz="2000" b="1" i="0" u="none" strike="noStrike">
              <a:solidFill>
                <a:schemeClr val="accent5"/>
              </a:solidFill>
              <a:latin typeface="Calibri"/>
              <a:ea typeface="Calibri"/>
              <a:cs typeface="Calibri"/>
            </a:rPr>
            <a:pPr marL="0" indent="0"/>
            <a:t>10026</a:t>
          </a:fld>
          <a:endParaRPr lang="en-US" sz="2000" b="1" i="0" u="none" strike="noStrike">
            <a:solidFill>
              <a:schemeClr val="accent5"/>
            </a:solidFill>
            <a:latin typeface="Calibri"/>
            <a:ea typeface="Calibri"/>
            <a:cs typeface="Calibri"/>
          </a:endParaRPr>
        </a:p>
      </xdr:txBody>
    </xdr:sp>
    <xdr:clientData/>
  </xdr:twoCellAnchor>
  <xdr:twoCellAnchor editAs="absolute">
    <xdr:from>
      <xdr:col>3</xdr:col>
      <xdr:colOff>190500</xdr:colOff>
      <xdr:row>8</xdr:row>
      <xdr:rowOff>161925</xdr:rowOff>
    </xdr:from>
    <xdr:to>
      <xdr:col>4</xdr:col>
      <xdr:colOff>257175</xdr:colOff>
      <xdr:row>12</xdr:row>
      <xdr:rowOff>76200</xdr:rowOff>
    </xdr:to>
    <xdr:pic>
      <xdr:nvPicPr>
        <xdr:cNvPr id="31" name="Graphic 30" descr="School boy outline">
          <a:extLst>
            <a:ext uri="{FF2B5EF4-FFF2-40B4-BE49-F238E27FC236}">
              <a16:creationId xmlns:a16="http://schemas.microsoft.com/office/drawing/2014/main" id="{0C1C3E5F-7667-133B-2085-B7A9A001A2E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19300" y="1685925"/>
          <a:ext cx="676275" cy="676275"/>
        </a:xfrm>
        <a:prstGeom prst="rect">
          <a:avLst/>
        </a:prstGeom>
      </xdr:spPr>
    </xdr:pic>
    <xdr:clientData/>
  </xdr:twoCellAnchor>
  <xdr:twoCellAnchor editAs="absolute">
    <xdr:from>
      <xdr:col>4</xdr:col>
      <xdr:colOff>114301</xdr:colOff>
      <xdr:row>8</xdr:row>
      <xdr:rowOff>104774</xdr:rowOff>
    </xdr:from>
    <xdr:to>
      <xdr:col>6</xdr:col>
      <xdr:colOff>104775</xdr:colOff>
      <xdr:row>12</xdr:row>
      <xdr:rowOff>133349</xdr:rowOff>
    </xdr:to>
    <xdr:sp macro="" textlink="">
      <xdr:nvSpPr>
        <xdr:cNvPr id="32" name="TextBox 31">
          <a:extLst>
            <a:ext uri="{FF2B5EF4-FFF2-40B4-BE49-F238E27FC236}">
              <a16:creationId xmlns:a16="http://schemas.microsoft.com/office/drawing/2014/main" id="{2D65494C-43FC-4436-9702-390D2D78922C}"/>
            </a:ext>
          </a:extLst>
        </xdr:cNvPr>
        <xdr:cNvSpPr txBox="1"/>
      </xdr:nvSpPr>
      <xdr:spPr>
        <a:xfrm>
          <a:off x="2552701" y="1628774"/>
          <a:ext cx="1209674"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i="0" u="none" strike="noStrike">
              <a:solidFill>
                <a:schemeClr val="accent4">
                  <a:lumMod val="40000"/>
                  <a:lumOff val="60000"/>
                </a:schemeClr>
              </a:solidFill>
              <a:latin typeface="Calibri"/>
              <a:ea typeface="Calibri"/>
              <a:cs typeface="Calibri"/>
            </a:rPr>
            <a:t>Student</a:t>
          </a:r>
        </a:p>
        <a:p>
          <a:pPr algn="ctr"/>
          <a:r>
            <a:rPr lang="en-US" sz="1800" b="1" i="0" u="none" strike="noStrike" baseline="0">
              <a:solidFill>
                <a:schemeClr val="accent4">
                  <a:lumMod val="40000"/>
                  <a:lumOff val="60000"/>
                </a:schemeClr>
              </a:solidFill>
              <a:latin typeface="Calibri"/>
              <a:ea typeface="Calibri"/>
              <a:cs typeface="Calibri"/>
            </a:rPr>
            <a:t> Count</a:t>
          </a:r>
          <a:endParaRPr lang="en-US" sz="1800" b="1" i="0" u="none" strike="noStrike">
            <a:solidFill>
              <a:schemeClr val="accent4">
                <a:lumMod val="40000"/>
                <a:lumOff val="60000"/>
              </a:schemeClr>
            </a:solidFill>
            <a:latin typeface="Calibri"/>
            <a:ea typeface="Calibri"/>
            <a:cs typeface="Calibri"/>
          </a:endParaRPr>
        </a:p>
      </xdr:txBody>
    </xdr:sp>
    <xdr:clientData/>
  </xdr:twoCellAnchor>
  <xdr:twoCellAnchor editAs="absolute">
    <xdr:from>
      <xdr:col>6</xdr:col>
      <xdr:colOff>255742</xdr:colOff>
      <xdr:row>8</xdr:row>
      <xdr:rowOff>142004</xdr:rowOff>
    </xdr:from>
    <xdr:to>
      <xdr:col>15</xdr:col>
      <xdr:colOff>409579</xdr:colOff>
      <xdr:row>26</xdr:row>
      <xdr:rowOff>38097</xdr:rowOff>
    </xdr:to>
    <xdr:sp macro="" textlink="">
      <xdr:nvSpPr>
        <xdr:cNvPr id="33" name="Rectangle: Rounded Corners 32">
          <a:extLst>
            <a:ext uri="{FF2B5EF4-FFF2-40B4-BE49-F238E27FC236}">
              <a16:creationId xmlns:a16="http://schemas.microsoft.com/office/drawing/2014/main" id="{4A8C623F-43D9-4610-8F13-2C0E9DC73032}"/>
            </a:ext>
          </a:extLst>
        </xdr:cNvPr>
        <xdr:cNvSpPr/>
      </xdr:nvSpPr>
      <xdr:spPr>
        <a:xfrm rot="16200000">
          <a:off x="5070914" y="508432"/>
          <a:ext cx="3325093" cy="5640237"/>
        </a:xfrm>
        <a:prstGeom prst="roundRect">
          <a:avLst>
            <a:gd name="adj" fmla="val 1810"/>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0</xdr:col>
      <xdr:colOff>141441</xdr:colOff>
      <xdr:row>16</xdr:row>
      <xdr:rowOff>189634</xdr:rowOff>
    </xdr:from>
    <xdr:to>
      <xdr:col>2</xdr:col>
      <xdr:colOff>495300</xdr:colOff>
      <xdr:row>25</xdr:row>
      <xdr:rowOff>142876</xdr:rowOff>
    </xdr:to>
    <mc:AlternateContent xmlns:mc="http://schemas.openxmlformats.org/markup-compatibility/2006" xmlns:a14="http://schemas.microsoft.com/office/drawing/2010/main">
      <mc:Choice Requires="a14">
        <xdr:graphicFrame macro="">
          <xdr:nvGraphicFramePr>
            <xdr:cNvPr id="35" name="TC Type 1">
              <a:extLst>
                <a:ext uri="{FF2B5EF4-FFF2-40B4-BE49-F238E27FC236}">
                  <a16:creationId xmlns:a16="http://schemas.microsoft.com/office/drawing/2014/main" id="{7EE167E7-4E04-41D1-81FE-133FBC406F3C}"/>
                </a:ext>
              </a:extLst>
            </xdr:cNvPr>
            <xdr:cNvGraphicFramePr/>
          </xdr:nvGraphicFramePr>
          <xdr:xfrm>
            <a:off x="0" y="0"/>
            <a:ext cx="0" cy="0"/>
          </xdr:xfrm>
          <a:graphic>
            <a:graphicData uri="http://schemas.microsoft.com/office/drawing/2010/slicer">
              <sle:slicer xmlns:sle="http://schemas.microsoft.com/office/drawing/2010/slicer" name="TC Type 1"/>
            </a:graphicData>
          </a:graphic>
        </xdr:graphicFrame>
      </mc:Choice>
      <mc:Fallback xmlns="">
        <xdr:sp macro="" textlink="">
          <xdr:nvSpPr>
            <xdr:cNvPr id="0" name=""/>
            <xdr:cNvSpPr>
              <a:spLocks noTextEdit="1"/>
            </xdr:cNvSpPr>
          </xdr:nvSpPr>
          <xdr:spPr>
            <a:xfrm>
              <a:off x="141441" y="3237634"/>
              <a:ext cx="1573059" cy="16677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11</xdr:col>
      <xdr:colOff>476249</xdr:colOff>
      <xdr:row>2</xdr:row>
      <xdr:rowOff>76200</xdr:rowOff>
    </xdr:from>
    <xdr:to>
      <xdr:col>15</xdr:col>
      <xdr:colOff>485774</xdr:colOff>
      <xdr:row>9</xdr:row>
      <xdr:rowOff>114300</xdr:rowOff>
    </xdr:to>
    <xdr:graphicFrame macro="">
      <xdr:nvGraphicFramePr>
        <xdr:cNvPr id="37" name="Chart 36">
          <a:extLst>
            <a:ext uri="{FF2B5EF4-FFF2-40B4-BE49-F238E27FC236}">
              <a16:creationId xmlns:a16="http://schemas.microsoft.com/office/drawing/2014/main" id="{B5BAFF08-C2AD-4961-B7CB-BA5E72562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316066</xdr:colOff>
      <xdr:row>4</xdr:row>
      <xdr:rowOff>122958</xdr:rowOff>
    </xdr:from>
    <xdr:to>
      <xdr:col>14</xdr:col>
      <xdr:colOff>590550</xdr:colOff>
      <xdr:row>7</xdr:row>
      <xdr:rowOff>152400</xdr:rowOff>
    </xdr:to>
    <xdr:sp macro="" textlink="Pivot!$R$35">
      <xdr:nvSpPr>
        <xdr:cNvPr id="38" name="TextBox 37">
          <a:extLst>
            <a:ext uri="{FF2B5EF4-FFF2-40B4-BE49-F238E27FC236}">
              <a16:creationId xmlns:a16="http://schemas.microsoft.com/office/drawing/2014/main" id="{C067267D-84BA-45DA-9255-52DEF25C9008}"/>
            </a:ext>
          </a:extLst>
        </xdr:cNvPr>
        <xdr:cNvSpPr txBox="1"/>
      </xdr:nvSpPr>
      <xdr:spPr>
        <a:xfrm>
          <a:off x="8240866" y="884958"/>
          <a:ext cx="884084" cy="600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ADE3A2-A354-44AD-AD44-5796FD4BF236}" type="TxLink">
            <a:rPr lang="en-US" sz="1800" b="1" i="0" u="none" strike="noStrike">
              <a:solidFill>
                <a:schemeClr val="bg1">
                  <a:lumMod val="95000"/>
                </a:schemeClr>
              </a:solidFill>
              <a:latin typeface="Calibri"/>
              <a:ea typeface="Calibri"/>
              <a:cs typeface="Calibri"/>
            </a:rPr>
            <a:pPr marL="0" indent="0"/>
            <a:t>50.53%</a:t>
          </a:fld>
          <a:endParaRPr lang="en-US" sz="1800" b="1" i="0" u="none" strike="noStrike">
            <a:solidFill>
              <a:schemeClr val="bg1">
                <a:lumMod val="95000"/>
              </a:schemeClr>
            </a:solidFill>
            <a:latin typeface="Calibri"/>
            <a:ea typeface="Calibri"/>
            <a:cs typeface="Calibri"/>
          </a:endParaRPr>
        </a:p>
      </xdr:txBody>
    </xdr:sp>
    <xdr:clientData/>
  </xdr:twoCellAnchor>
  <xdr:twoCellAnchor editAs="absolute">
    <xdr:from>
      <xdr:col>6</xdr:col>
      <xdr:colOff>342900</xdr:colOff>
      <xdr:row>8</xdr:row>
      <xdr:rowOff>171450</xdr:rowOff>
    </xdr:from>
    <xdr:to>
      <xdr:col>15</xdr:col>
      <xdr:colOff>285750</xdr:colOff>
      <xdr:row>25</xdr:row>
      <xdr:rowOff>114299</xdr:rowOff>
    </xdr:to>
    <xdr:graphicFrame macro="">
      <xdr:nvGraphicFramePr>
        <xdr:cNvPr id="39" name="Chart 38">
          <a:extLst>
            <a:ext uri="{FF2B5EF4-FFF2-40B4-BE49-F238E27FC236}">
              <a16:creationId xmlns:a16="http://schemas.microsoft.com/office/drawing/2014/main" id="{2A8B9A4A-2772-48CF-986A-2BA9F7BE20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16</xdr:col>
      <xdr:colOff>46190</xdr:colOff>
      <xdr:row>3</xdr:row>
      <xdr:rowOff>161925</xdr:rowOff>
    </xdr:from>
    <xdr:to>
      <xdr:col>19</xdr:col>
      <xdr:colOff>606428</xdr:colOff>
      <xdr:row>26</xdr:row>
      <xdr:rowOff>19050</xdr:rowOff>
    </xdr:to>
    <xdr:sp macro="" textlink="">
      <xdr:nvSpPr>
        <xdr:cNvPr id="40" name="Rectangle: Rounded Corners 39">
          <a:extLst>
            <a:ext uri="{FF2B5EF4-FFF2-40B4-BE49-F238E27FC236}">
              <a16:creationId xmlns:a16="http://schemas.microsoft.com/office/drawing/2014/main" id="{BE29B5FD-87A3-46E2-9FAC-14D2BBC84C76}"/>
            </a:ext>
          </a:extLst>
        </xdr:cNvPr>
        <xdr:cNvSpPr/>
      </xdr:nvSpPr>
      <xdr:spPr>
        <a:xfrm rot="16200000">
          <a:off x="8874996" y="1658219"/>
          <a:ext cx="4238625" cy="2389038"/>
        </a:xfrm>
        <a:prstGeom prst="roundRect">
          <a:avLst>
            <a:gd name="adj" fmla="val 6757"/>
          </a:avLst>
        </a:prstGeom>
        <a:solidFill>
          <a:srgbClr val="303B4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absolute">
    <xdr:from>
      <xdr:col>15</xdr:col>
      <xdr:colOff>390523</xdr:colOff>
      <xdr:row>5</xdr:row>
      <xdr:rowOff>104775</xdr:rowOff>
    </xdr:from>
    <xdr:to>
      <xdr:col>20</xdr:col>
      <xdr:colOff>238124</xdr:colOff>
      <xdr:row>24</xdr:row>
      <xdr:rowOff>123825</xdr:rowOff>
    </xdr:to>
    <xdr:graphicFrame macro="">
      <xdr:nvGraphicFramePr>
        <xdr:cNvPr id="41" name="Chart 40">
          <a:extLst>
            <a:ext uri="{FF2B5EF4-FFF2-40B4-BE49-F238E27FC236}">
              <a16:creationId xmlns:a16="http://schemas.microsoft.com/office/drawing/2014/main" id="{786270D6-2620-4F38-B190-902D53747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180975</xdr:colOff>
      <xdr:row>3</xdr:row>
      <xdr:rowOff>171450</xdr:rowOff>
    </xdr:from>
    <xdr:to>
      <xdr:col>7</xdr:col>
      <xdr:colOff>1133475</xdr:colOff>
      <xdr:row>17</xdr:row>
      <xdr:rowOff>28575</xdr:rowOff>
    </xdr:to>
    <mc:AlternateContent xmlns:mc="http://schemas.openxmlformats.org/markup-compatibility/2006" xmlns:a14="http://schemas.microsoft.com/office/drawing/2010/main">
      <mc:Choice Requires="a14">
        <xdr:graphicFrame macro="">
          <xdr:nvGraphicFramePr>
            <xdr:cNvPr id="3" name="Zone">
              <a:extLst>
                <a:ext uri="{FF2B5EF4-FFF2-40B4-BE49-F238E27FC236}">
                  <a16:creationId xmlns:a16="http://schemas.microsoft.com/office/drawing/2014/main" id="{5DAA88CA-0E83-31D3-EC21-539F2E4A2503}"/>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4429125" y="74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466725</xdr:colOff>
      <xdr:row>3</xdr:row>
      <xdr:rowOff>38100</xdr:rowOff>
    </xdr:from>
    <xdr:to>
      <xdr:col>9</xdr:col>
      <xdr:colOff>952500</xdr:colOff>
      <xdr:row>9</xdr:row>
      <xdr:rowOff>142875</xdr:rowOff>
    </xdr:to>
    <mc:AlternateContent xmlns:mc="http://schemas.openxmlformats.org/markup-compatibility/2006" xmlns:a14="http://schemas.microsoft.com/office/drawing/2010/main">
      <mc:Choice Requires="a14">
        <xdr:graphicFrame macro="">
          <xdr:nvGraphicFramePr>
            <xdr:cNvPr id="4" name="TC Type">
              <a:extLst>
                <a:ext uri="{FF2B5EF4-FFF2-40B4-BE49-F238E27FC236}">
                  <a16:creationId xmlns:a16="http://schemas.microsoft.com/office/drawing/2014/main" id="{2C21B046-53D5-31B2-6927-5DAD89854D46}"/>
                </a:ext>
              </a:extLst>
            </xdr:cNvPr>
            <xdr:cNvGraphicFramePr/>
          </xdr:nvGraphicFramePr>
          <xdr:xfrm>
            <a:off x="0" y="0"/>
            <a:ext cx="0" cy="0"/>
          </xdr:xfrm>
          <a:graphic>
            <a:graphicData uri="http://schemas.microsoft.com/office/drawing/2010/slicer">
              <sle:slicer xmlns:sle="http://schemas.microsoft.com/office/drawing/2010/slicer" name="TC Type"/>
            </a:graphicData>
          </a:graphic>
        </xdr:graphicFrame>
      </mc:Choice>
      <mc:Fallback xmlns="">
        <xdr:sp macro="" textlink="">
          <xdr:nvSpPr>
            <xdr:cNvPr id="0" name=""/>
            <xdr:cNvSpPr>
              <a:spLocks noTextEdit="1"/>
            </xdr:cNvSpPr>
          </xdr:nvSpPr>
          <xdr:spPr>
            <a:xfrm>
              <a:off x="6696075" y="609600"/>
              <a:ext cx="18288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266700</xdr:colOff>
      <xdr:row>10</xdr:row>
      <xdr:rowOff>114300</xdr:rowOff>
    </xdr:from>
    <xdr:to>
      <xdr:col>16</xdr:col>
      <xdr:colOff>76200</xdr:colOff>
      <xdr:row>19</xdr:row>
      <xdr:rowOff>4762</xdr:rowOff>
    </xdr:to>
    <xdr:graphicFrame macro="">
      <xdr:nvGraphicFramePr>
        <xdr:cNvPr id="8" name="Chart 7">
          <a:extLst>
            <a:ext uri="{FF2B5EF4-FFF2-40B4-BE49-F238E27FC236}">
              <a16:creationId xmlns:a16="http://schemas.microsoft.com/office/drawing/2014/main" id="{09762389-74D2-8D72-AF39-325A41985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57150</xdr:colOff>
      <xdr:row>11</xdr:row>
      <xdr:rowOff>19049</xdr:rowOff>
    </xdr:from>
    <xdr:to>
      <xdr:col>21</xdr:col>
      <xdr:colOff>600075</xdr:colOff>
      <xdr:row>18</xdr:row>
      <xdr:rowOff>52386</xdr:rowOff>
    </xdr:to>
    <xdr:graphicFrame macro="">
      <xdr:nvGraphicFramePr>
        <xdr:cNvPr id="9" name="Chart 8">
          <a:extLst>
            <a:ext uri="{FF2B5EF4-FFF2-40B4-BE49-F238E27FC236}">
              <a16:creationId xmlns:a16="http://schemas.microsoft.com/office/drawing/2014/main" id="{A60D4563-7988-EC66-D5C2-EC0900BA9B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1085850</xdr:colOff>
      <xdr:row>40</xdr:row>
      <xdr:rowOff>9525</xdr:rowOff>
    </xdr:from>
    <xdr:to>
      <xdr:col>19</xdr:col>
      <xdr:colOff>9525</xdr:colOff>
      <xdr:row>48</xdr:row>
      <xdr:rowOff>0</xdr:rowOff>
    </xdr:to>
    <xdr:graphicFrame macro="">
      <xdr:nvGraphicFramePr>
        <xdr:cNvPr id="13" name="Chart 12">
          <a:extLst>
            <a:ext uri="{FF2B5EF4-FFF2-40B4-BE49-F238E27FC236}">
              <a16:creationId xmlns:a16="http://schemas.microsoft.com/office/drawing/2014/main" id="{A197AAFF-5718-4EE9-9AFB-3C3FD46EC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171450</xdr:colOff>
      <xdr:row>48</xdr:row>
      <xdr:rowOff>76200</xdr:rowOff>
    </xdr:from>
    <xdr:to>
      <xdr:col>18</xdr:col>
      <xdr:colOff>76200</xdr:colOff>
      <xdr:row>54</xdr:row>
      <xdr:rowOff>157162</xdr:rowOff>
    </xdr:to>
    <xdr:graphicFrame macro="">
      <xdr:nvGraphicFramePr>
        <xdr:cNvPr id="14" name="Chart 13">
          <a:extLst>
            <a:ext uri="{FF2B5EF4-FFF2-40B4-BE49-F238E27FC236}">
              <a16:creationId xmlns:a16="http://schemas.microsoft.com/office/drawing/2014/main" id="{01FDBAB6-4400-93B3-51D5-798F064710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19050</xdr:colOff>
      <xdr:row>28</xdr:row>
      <xdr:rowOff>128587</xdr:rowOff>
    </xdr:from>
    <xdr:to>
      <xdr:col>25</xdr:col>
      <xdr:colOff>466725</xdr:colOff>
      <xdr:row>43</xdr:row>
      <xdr:rowOff>14287</xdr:rowOff>
    </xdr:to>
    <xdr:graphicFrame macro="">
      <xdr:nvGraphicFramePr>
        <xdr:cNvPr id="16" name="Chart 15">
          <a:extLst>
            <a:ext uri="{FF2B5EF4-FFF2-40B4-BE49-F238E27FC236}">
              <a16:creationId xmlns:a16="http://schemas.microsoft.com/office/drawing/2014/main" id="{1345201E-AD64-B9CF-3C20-C5655F016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38099</xdr:colOff>
      <xdr:row>39</xdr:row>
      <xdr:rowOff>114300</xdr:rowOff>
    </xdr:from>
    <xdr:to>
      <xdr:col>11</xdr:col>
      <xdr:colOff>9524</xdr:colOff>
      <xdr:row>49</xdr:row>
      <xdr:rowOff>100012</xdr:rowOff>
    </xdr:to>
    <xdr:graphicFrame macro="">
      <xdr:nvGraphicFramePr>
        <xdr:cNvPr id="17" name="Chart 16">
          <a:extLst>
            <a:ext uri="{FF2B5EF4-FFF2-40B4-BE49-F238E27FC236}">
              <a16:creationId xmlns:a16="http://schemas.microsoft.com/office/drawing/2014/main" id="{AFE3BF35-F74F-EB3C-7185-8D18EDF7E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1562099</xdr:colOff>
      <xdr:row>90</xdr:row>
      <xdr:rowOff>104774</xdr:rowOff>
    </xdr:from>
    <xdr:to>
      <xdr:col>9</xdr:col>
      <xdr:colOff>76199</xdr:colOff>
      <xdr:row>93</xdr:row>
      <xdr:rowOff>87085</xdr:rowOff>
    </xdr:to>
    <xdr:sp macro="" textlink="">
      <xdr:nvSpPr>
        <xdr:cNvPr id="10" name="txtboxOnOff">
          <a:extLst>
            <a:ext uri="{FF2B5EF4-FFF2-40B4-BE49-F238E27FC236}">
              <a16:creationId xmlns:a16="http://schemas.microsoft.com/office/drawing/2014/main" id="{963187A1-89A6-4A09-B343-2BB7B55FC610}"/>
            </a:ext>
          </a:extLst>
        </xdr:cNvPr>
        <xdr:cNvSpPr txBox="1"/>
      </xdr:nvSpPr>
      <xdr:spPr>
        <a:xfrm>
          <a:off x="2343149" y="2771774"/>
          <a:ext cx="866775" cy="782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3200" b="1">
              <a:solidFill>
                <a:schemeClr val="bg1"/>
              </a:solidFill>
            </a:rPr>
            <a:t>OFF</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rabh Kumar" refreshedDate="46097.57508599537" createdVersion="8" refreshedVersion="8" minRefreshableVersion="3" recordCount="347" xr:uid="{46373D26-130C-4D7A-B046-6B6C564B0545}">
  <cacheSource type="worksheet">
    <worksheetSource ref="A1:AK348" sheet="Data"/>
  </cacheSource>
  <cacheFields count="37">
    <cacheField name="S.No" numFmtId="0">
      <sharedItems containsSemiMixedTypes="0" containsString="0" containsNumber="1" containsInteger="1" minValue="1" maxValue="347"/>
    </cacheField>
    <cacheField name="Zone" numFmtId="0">
      <sharedItems count="17">
        <s v="North East"/>
        <s v="South"/>
        <s v="East"/>
        <s v="West"/>
        <s v="North"/>
        <s v="Central"/>
        <s v="Headquarters"/>
        <s v="East 1" u="1"/>
        <s v="East 2" u="1"/>
        <s v="North 1" u="1"/>
        <s v="North 2" u="1"/>
        <s v="North 3" u="1"/>
        <s v="North 4" u="1"/>
        <s v="South 1" u="1"/>
        <s v="South 2" u="1"/>
        <s v="West 1" u="1"/>
        <s v="West 2" u="1"/>
      </sharedItems>
    </cacheField>
    <cacheField name="State" numFmtId="0">
      <sharedItems/>
    </cacheField>
    <cacheField name="City" numFmtId="0">
      <sharedItems/>
    </cacheField>
    <cacheField name="Venue Code" numFmtId="0">
      <sharedItems containsSemiMixedTypes="0" containsString="0" containsNumber="1" containsInteger="1" minValue="63" maxValue="40139"/>
    </cacheField>
    <cacheField name="TC Type" numFmtId="0">
      <sharedItems count="6">
        <s v="Rented"/>
        <s v="Owned"/>
        <s v="Vendor"/>
        <s v="LISP" u="1"/>
        <s v="iDZ" u="1"/>
        <s v="TiDZ/LTL" u="1"/>
      </sharedItems>
    </cacheField>
    <cacheField name="S1" numFmtId="0">
      <sharedItems containsSemiMixedTypes="0" containsString="0" containsNumber="1" containsInteger="1" minValue="9" maxValue="3343"/>
    </cacheField>
    <cacheField name="S2" numFmtId="0">
      <sharedItems containsSemiMixedTypes="0" containsString="0" containsNumber="1" containsInteger="1" minValue="0" maxValue="3341"/>
    </cacheField>
    <cacheField name="S3" numFmtId="0">
      <sharedItems containsSemiMixedTypes="0" containsString="0" containsNumber="1" containsInteger="1" minValue="0" maxValue="3339"/>
    </cacheField>
    <cacheField name="25th Nov 2024" numFmtId="0">
      <sharedItems containsSemiMixedTypes="0" containsString="0" containsNumber="1" containsInteger="1" minValue="9" maxValue="10023"/>
    </cacheField>
    <cacheField name="S12" numFmtId="0">
      <sharedItems containsSemiMixedTypes="0" containsString="0" containsNumber="1" containsInteger="1" minValue="0" maxValue="3342"/>
    </cacheField>
    <cacheField name="S22" numFmtId="0">
      <sharedItems containsSemiMixedTypes="0" containsString="0" containsNumber="1" containsInteger="1" minValue="0" maxValue="3342"/>
    </cacheField>
    <cacheField name="S32" numFmtId="0">
      <sharedItems containsSemiMixedTypes="0" containsString="0" containsNumber="1" containsInteger="1" minValue="0" maxValue="3342"/>
    </cacheField>
    <cacheField name="26th Nov 2024" numFmtId="0">
      <sharedItems containsSemiMixedTypes="0" containsString="0" containsNumber="1" containsInteger="1" minValue="0" maxValue="10026"/>
    </cacheField>
    <cacheField name="S13" numFmtId="0">
      <sharedItems containsSemiMixedTypes="0" containsString="0" containsNumber="1" containsInteger="1" minValue="0" maxValue="3342"/>
    </cacheField>
    <cacheField name="S23" numFmtId="0">
      <sharedItems containsSemiMixedTypes="0" containsString="0" containsNumber="1" containsInteger="1" minValue="0" maxValue="3342"/>
    </cacheField>
    <cacheField name="S33" numFmtId="0">
      <sharedItems containsSemiMixedTypes="0" containsString="0" containsNumber="1" containsInteger="1" minValue="0" maxValue="3342"/>
    </cacheField>
    <cacheField name="27th Nov 2024" numFmtId="0">
      <sharedItems containsSemiMixedTypes="0" containsString="0" containsNumber="1" containsInteger="1" minValue="0" maxValue="10026"/>
    </cacheField>
    <cacheField name="S14" numFmtId="0">
      <sharedItems containsSemiMixedTypes="0" containsString="0" containsNumber="1" containsInteger="1" minValue="0" maxValue="3342"/>
    </cacheField>
    <cacheField name="S24" numFmtId="0">
      <sharedItems containsSemiMixedTypes="0" containsString="0" containsNumber="1" containsInteger="1" minValue="0" maxValue="3342"/>
    </cacheField>
    <cacheField name="S34" numFmtId="0">
      <sharedItems containsSemiMixedTypes="0" containsString="0" containsNumber="1" containsInteger="1" minValue="0" maxValue="3342"/>
    </cacheField>
    <cacheField name="28th Nov 2024" numFmtId="0">
      <sharedItems containsSemiMixedTypes="0" containsString="0" containsNumber="1" containsInteger="1" minValue="0" maxValue="10026"/>
    </cacheField>
    <cacheField name="S15" numFmtId="0">
      <sharedItems containsSemiMixedTypes="0" containsString="0" containsNumber="1" containsInteger="1" minValue="0" maxValue="3338"/>
    </cacheField>
    <cacheField name="S25" numFmtId="0">
      <sharedItems containsSemiMixedTypes="0" containsString="0" containsNumber="1" containsInteger="1" minValue="0" maxValue="3343"/>
    </cacheField>
    <cacheField name="S35" numFmtId="0">
      <sharedItems containsSemiMixedTypes="0" containsString="0" containsNumber="1" containsInteger="1" minValue="0" maxValue="3343"/>
    </cacheField>
    <cacheField name="29th Nov 2024" numFmtId="0">
      <sharedItems containsSemiMixedTypes="0" containsString="0" containsNumber="1" containsInteger="1" minValue="0" maxValue="10024"/>
    </cacheField>
    <cacheField name="Max Count" numFmtId="0">
      <sharedItems containsSemiMixedTypes="0" containsString="0" containsNumber="1" containsInteger="1" minValue="9" maxValue="10026"/>
    </cacheField>
    <cacheField name="Total Shift 1" numFmtId="0">
      <sharedItems containsSemiMixedTypes="0" containsString="0" containsNumber="1" containsInteger="1" minValue="0" maxValue="16705"/>
    </cacheField>
    <cacheField name="Total Shift 2" numFmtId="0">
      <sharedItems containsSemiMixedTypes="0" containsString="0" containsNumber="1" containsInteger="1" minValue="0" maxValue="13549"/>
    </cacheField>
    <cacheField name="Total Shift 3" numFmtId="0">
      <sharedItems containsSemiMixedTypes="0" containsString="0" containsNumber="1" containsInteger="1" minValue="0" maxValue="16708"/>
    </cacheField>
    <cacheField name="Total Count" numFmtId="0">
      <sharedItems containsSemiMixedTypes="0" containsString="0" containsNumber="1" containsInteger="1" minValue="18" maxValue="90226"/>
    </cacheField>
    <cacheField name="Network Compliance" numFmtId="0">
      <sharedItems count="2">
        <s v="Compliant"/>
        <s v="Non Compliant"/>
      </sharedItems>
    </cacheField>
    <cacheField name="Power Compliance" numFmtId="0">
      <sharedItems count="2">
        <s v="Compliant"/>
        <s v="Non Compliant"/>
      </sharedItems>
    </cacheField>
    <cacheField name="Attendence %" numFmtId="9">
      <sharedItems containsSemiMixedTypes="0" containsString="0" containsNumber="1" minValue="1.9385040542475585E-3" maxValue="0.99834510321857406"/>
    </cacheField>
    <cacheField name="Lock%" numFmtId="164">
      <sharedItems containsMixedTypes="1" containsNumber="1" minValue="0" maxValue="0.27612412919569346"/>
    </cacheField>
    <cacheField name="Power Issue" numFmtId="0">
      <sharedItems containsSemiMixedTypes="0" containsString="0" containsNumber="1" containsInteger="1" minValue="0" maxValue="4"/>
    </cacheField>
    <cacheField name="Network Issue" numFmtId="0">
      <sharedItems containsSemiMixedTypes="0" containsString="0" containsNumber="1" containsInteger="1" minValue="0" maxValue="2"/>
    </cacheField>
  </cacheFields>
  <extLst>
    <ext xmlns:x14="http://schemas.microsoft.com/office/spreadsheetml/2009/9/main" uri="{725AE2AE-9491-48be-B2B4-4EB974FC3084}">
      <x14:pivotCacheDefinition pivotCacheId="10284339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7">
  <r>
    <n v="1"/>
    <x v="0"/>
    <s v="Andaman and Nicobar Island"/>
    <s v="Port Blair"/>
    <n v="9310"/>
    <x v="0"/>
    <n v="25"/>
    <n v="25"/>
    <n v="25"/>
    <n v="75"/>
    <n v="0"/>
    <n v="0"/>
    <n v="0"/>
    <n v="0"/>
    <n v="0"/>
    <n v="0"/>
    <n v="0"/>
    <n v="0"/>
    <n v="0"/>
    <n v="0"/>
    <n v="0"/>
    <n v="0"/>
    <n v="0"/>
    <n v="0"/>
    <n v="0"/>
    <n v="0"/>
    <n v="75"/>
    <n v="25"/>
    <n v="458"/>
    <n v="25"/>
    <n v="150"/>
    <x v="0"/>
    <x v="0"/>
    <n v="0.68891256652886923"/>
    <n v="6.7819148936170207E-2"/>
    <n v="1"/>
    <n v="0"/>
  </r>
  <r>
    <n v="2"/>
    <x v="1"/>
    <s v="Andhra Pradesh"/>
    <s v="Anantapur"/>
    <n v="8696"/>
    <x v="0"/>
    <n v="459"/>
    <n v="458"/>
    <n v="458"/>
    <n v="1375"/>
    <n v="458"/>
    <n v="458"/>
    <n v="458"/>
    <n v="1374"/>
    <n v="458"/>
    <n v="458"/>
    <n v="458"/>
    <n v="1374"/>
    <n v="458"/>
    <n v="458"/>
    <n v="458"/>
    <n v="1374"/>
    <n v="458"/>
    <n v="458"/>
    <n v="458"/>
    <n v="1374"/>
    <n v="1375"/>
    <n v="2290"/>
    <n v="2065"/>
    <n v="2290"/>
    <n v="12368"/>
    <x v="0"/>
    <x v="0"/>
    <n v="0.75005721536001158"/>
    <n v="0"/>
    <n v="0"/>
    <n v="0"/>
  </r>
  <r>
    <n v="3"/>
    <x v="1"/>
    <s v="Andhra Pradesh"/>
    <s v="Guntur"/>
    <n v="40139"/>
    <x v="0"/>
    <n v="234"/>
    <n v="233"/>
    <n v="233"/>
    <n v="700"/>
    <n v="233"/>
    <n v="233"/>
    <n v="233"/>
    <n v="699"/>
    <n v="233"/>
    <n v="233"/>
    <n v="233"/>
    <n v="699"/>
    <n v="233"/>
    <n v="233"/>
    <n v="233"/>
    <n v="699"/>
    <n v="233"/>
    <n v="233"/>
    <n v="233"/>
    <n v="699"/>
    <n v="700"/>
    <n v="1165"/>
    <n v="1165"/>
    <n v="1165"/>
    <n v="6293"/>
    <x v="1"/>
    <x v="0"/>
    <n v="0.40565843759651588"/>
    <e v="#N/A"/>
    <n v="0"/>
    <n v="0"/>
  </r>
  <r>
    <n v="4"/>
    <x v="1"/>
    <s v="Andhra Pradesh"/>
    <s v="Guntur"/>
    <n v="9286"/>
    <x v="1"/>
    <n v="233"/>
    <n v="233"/>
    <n v="233"/>
    <n v="699"/>
    <n v="233"/>
    <n v="233"/>
    <n v="233"/>
    <n v="699"/>
    <n v="233"/>
    <n v="233"/>
    <n v="233"/>
    <n v="699"/>
    <n v="233"/>
    <n v="233"/>
    <n v="233"/>
    <n v="699"/>
    <n v="233"/>
    <n v="233"/>
    <n v="233"/>
    <n v="699"/>
    <n v="699"/>
    <n v="1165"/>
    <n v="1148"/>
    <n v="1165"/>
    <n v="6291"/>
    <x v="0"/>
    <x v="0"/>
    <n v="0.50464397909538572"/>
    <n v="0"/>
    <n v="0"/>
    <n v="0"/>
  </r>
  <r>
    <n v="5"/>
    <x v="1"/>
    <s v="Andhra Pradesh"/>
    <s v="Kadapa"/>
    <n v="9006"/>
    <x v="0"/>
    <n v="216"/>
    <n v="216"/>
    <n v="216"/>
    <n v="648"/>
    <n v="216"/>
    <n v="216"/>
    <n v="216"/>
    <n v="648"/>
    <n v="216"/>
    <n v="216"/>
    <n v="216"/>
    <n v="648"/>
    <n v="216"/>
    <n v="216"/>
    <n v="216"/>
    <n v="648"/>
    <n v="216"/>
    <n v="216"/>
    <n v="216"/>
    <n v="648"/>
    <n v="648"/>
    <n v="1080"/>
    <n v="1360"/>
    <n v="1080"/>
    <n v="5832"/>
    <x v="0"/>
    <x v="0"/>
    <n v="0.22057536688109569"/>
    <e v="#N/A"/>
    <n v="1"/>
    <n v="2"/>
  </r>
  <r>
    <n v="6"/>
    <x v="1"/>
    <s v="Andhra Pradesh"/>
    <s v="Kakinada"/>
    <n v="15028"/>
    <x v="1"/>
    <n v="496"/>
    <n v="496"/>
    <n v="496"/>
    <n v="1488"/>
    <n v="496"/>
    <n v="496"/>
    <n v="496"/>
    <n v="1488"/>
    <n v="496"/>
    <n v="496"/>
    <n v="496"/>
    <n v="1488"/>
    <n v="496"/>
    <n v="496"/>
    <n v="496"/>
    <n v="1488"/>
    <n v="495"/>
    <n v="496"/>
    <n v="496"/>
    <n v="1487"/>
    <n v="1488"/>
    <n v="2479"/>
    <n v="2892"/>
    <n v="2480"/>
    <n v="13391"/>
    <x v="0"/>
    <x v="0"/>
    <n v="0.46390422584101709"/>
    <n v="3.0186564176475299E-2"/>
    <n v="0"/>
    <n v="0"/>
  </r>
  <r>
    <n v="7"/>
    <x v="1"/>
    <s v="Andhra Pradesh"/>
    <s v="Kurnool"/>
    <n v="8669"/>
    <x v="1"/>
    <n v="908"/>
    <n v="908"/>
    <n v="908"/>
    <n v="2724"/>
    <n v="908"/>
    <n v="908"/>
    <n v="908"/>
    <n v="2724"/>
    <n v="908"/>
    <n v="908"/>
    <n v="908"/>
    <n v="2724"/>
    <n v="908"/>
    <n v="908"/>
    <n v="908"/>
    <n v="2724"/>
    <n v="908"/>
    <n v="908"/>
    <n v="908"/>
    <n v="2724"/>
    <n v="2724"/>
    <n v="4540"/>
    <n v="4088"/>
    <n v="4540"/>
    <n v="24516"/>
    <x v="0"/>
    <x v="0"/>
    <n v="0.55931651282576944"/>
    <n v="0"/>
    <n v="0"/>
    <n v="0"/>
  </r>
  <r>
    <n v="8"/>
    <x v="1"/>
    <s v="Andhra Pradesh"/>
    <s v="Nellore"/>
    <n v="9058"/>
    <x v="1"/>
    <n v="456"/>
    <n v="456"/>
    <n v="456"/>
    <n v="1368"/>
    <n v="456"/>
    <n v="456"/>
    <n v="456"/>
    <n v="1368"/>
    <n v="456"/>
    <n v="456"/>
    <n v="456"/>
    <n v="1368"/>
    <n v="456"/>
    <n v="456"/>
    <n v="456"/>
    <n v="1368"/>
    <n v="456"/>
    <n v="456"/>
    <n v="456"/>
    <n v="1368"/>
    <n v="1368"/>
    <n v="2280"/>
    <n v="2052"/>
    <n v="2280"/>
    <n v="12312"/>
    <x v="0"/>
    <x v="0"/>
    <n v="0.86078457562166855"/>
    <n v="0"/>
    <n v="0"/>
    <n v="0"/>
  </r>
  <r>
    <n v="9"/>
    <x v="1"/>
    <s v="Andhra Pradesh"/>
    <s v="Ongole"/>
    <n v="38754"/>
    <x v="2"/>
    <n v="228"/>
    <n v="228"/>
    <n v="228"/>
    <n v="684"/>
    <n v="228"/>
    <n v="228"/>
    <n v="228"/>
    <n v="684"/>
    <n v="228"/>
    <n v="228"/>
    <n v="228"/>
    <n v="684"/>
    <n v="228"/>
    <n v="228"/>
    <n v="228"/>
    <n v="684"/>
    <n v="228"/>
    <n v="228"/>
    <n v="228"/>
    <n v="684"/>
    <n v="684"/>
    <n v="1140"/>
    <n v="1823"/>
    <n v="1140"/>
    <n v="6156"/>
    <x v="0"/>
    <x v="1"/>
    <n v="0.24967780679888174"/>
    <n v="6.8205666316894023E-2"/>
    <n v="0"/>
    <n v="0"/>
  </r>
  <r>
    <n v="10"/>
    <x v="1"/>
    <s v="Andhra Pradesh"/>
    <s v="Rajahmundry"/>
    <n v="11364"/>
    <x v="1"/>
    <n v="911"/>
    <n v="911"/>
    <n v="911"/>
    <n v="2733"/>
    <n v="911"/>
    <n v="911"/>
    <n v="911"/>
    <n v="2733"/>
    <n v="911"/>
    <n v="911"/>
    <n v="911"/>
    <n v="2733"/>
    <n v="911"/>
    <n v="911"/>
    <n v="911"/>
    <n v="2733"/>
    <n v="911"/>
    <n v="911"/>
    <n v="911"/>
    <n v="2733"/>
    <n v="2733"/>
    <n v="4555"/>
    <n v="3967"/>
    <n v="4555"/>
    <n v="24597"/>
    <x v="0"/>
    <x v="0"/>
    <n v="0.50970606174787392"/>
    <e v="#N/A"/>
    <n v="0"/>
    <n v="0"/>
  </r>
  <r>
    <n v="11"/>
    <x v="1"/>
    <s v="Andhra Pradesh"/>
    <s v="Srikakulam"/>
    <n v="9564"/>
    <x v="0"/>
    <n v="323"/>
    <n v="323"/>
    <n v="323"/>
    <n v="969"/>
    <n v="323"/>
    <n v="323"/>
    <n v="323"/>
    <n v="969"/>
    <n v="323"/>
    <n v="323"/>
    <n v="323"/>
    <n v="969"/>
    <n v="323"/>
    <n v="323"/>
    <n v="323"/>
    <n v="969"/>
    <n v="323"/>
    <n v="323"/>
    <n v="323"/>
    <n v="969"/>
    <n v="969"/>
    <n v="1615"/>
    <n v="1515"/>
    <n v="1615"/>
    <n v="8721"/>
    <x v="0"/>
    <x v="0"/>
    <n v="0.99001438456460089"/>
    <e v="#N/A"/>
    <n v="1"/>
    <n v="0"/>
  </r>
  <r>
    <n v="12"/>
    <x v="1"/>
    <s v="Andhra Pradesh"/>
    <s v="Tirupathi"/>
    <n v="9000"/>
    <x v="1"/>
    <n v="223"/>
    <n v="223"/>
    <n v="223"/>
    <n v="669"/>
    <n v="223"/>
    <n v="223"/>
    <n v="223"/>
    <n v="669"/>
    <n v="223"/>
    <n v="223"/>
    <n v="223"/>
    <n v="669"/>
    <n v="223"/>
    <n v="223"/>
    <n v="223"/>
    <n v="669"/>
    <n v="223"/>
    <n v="223"/>
    <n v="223"/>
    <n v="669"/>
    <n v="669"/>
    <n v="1115"/>
    <n v="1812"/>
    <n v="1115"/>
    <n v="6021"/>
    <x v="1"/>
    <x v="1"/>
    <n v="0.2714701714843164"/>
    <n v="1.8109843525964717E-2"/>
    <n v="0"/>
    <n v="0"/>
  </r>
  <r>
    <n v="13"/>
    <x v="1"/>
    <s v="Andhra Pradesh"/>
    <s v="Tirupathi"/>
    <n v="9002"/>
    <x v="1"/>
    <n v="920"/>
    <n v="920"/>
    <n v="920"/>
    <n v="2760"/>
    <n v="920"/>
    <n v="920"/>
    <n v="920"/>
    <n v="2760"/>
    <n v="920"/>
    <n v="920"/>
    <n v="920"/>
    <n v="2760"/>
    <n v="920"/>
    <n v="920"/>
    <n v="920"/>
    <n v="2760"/>
    <n v="920"/>
    <n v="920"/>
    <n v="920"/>
    <n v="2760"/>
    <n v="2760"/>
    <n v="4600"/>
    <n v="4583"/>
    <n v="4600"/>
    <n v="24840"/>
    <x v="0"/>
    <x v="1"/>
    <n v="0.68423690923216196"/>
    <n v="1.7272605312583848E-2"/>
    <n v="0"/>
    <n v="0"/>
  </r>
  <r>
    <n v="14"/>
    <x v="1"/>
    <s v="Andhra Pradesh"/>
    <s v="Vijayawada"/>
    <n v="13297"/>
    <x v="1"/>
    <n v="903"/>
    <n v="903"/>
    <n v="903"/>
    <n v="2709"/>
    <n v="903"/>
    <n v="903"/>
    <n v="903"/>
    <n v="2709"/>
    <n v="903"/>
    <n v="903"/>
    <n v="903"/>
    <n v="2709"/>
    <n v="903"/>
    <n v="903"/>
    <n v="903"/>
    <n v="2709"/>
    <n v="903"/>
    <n v="903"/>
    <n v="903"/>
    <n v="2709"/>
    <n v="2709"/>
    <n v="4515"/>
    <n v="4061"/>
    <n v="4515"/>
    <n v="24381"/>
    <x v="0"/>
    <x v="0"/>
    <n v="0.76254896839309583"/>
    <n v="1.9058245927248384E-2"/>
    <n v="1"/>
    <n v="0"/>
  </r>
  <r>
    <n v="15"/>
    <x v="1"/>
    <s v="Andhra Pradesh"/>
    <s v="Vijayawada"/>
    <n v="9003"/>
    <x v="1"/>
    <n v="449"/>
    <n v="449"/>
    <n v="449"/>
    <n v="1347"/>
    <n v="449"/>
    <n v="449"/>
    <n v="449"/>
    <n v="1347"/>
    <n v="449"/>
    <n v="449"/>
    <n v="449"/>
    <n v="1347"/>
    <n v="449"/>
    <n v="449"/>
    <n v="449"/>
    <n v="1347"/>
    <n v="449"/>
    <n v="449"/>
    <n v="449"/>
    <n v="1347"/>
    <n v="1347"/>
    <n v="2245"/>
    <n v="2254"/>
    <n v="2245"/>
    <n v="12123"/>
    <x v="0"/>
    <x v="1"/>
    <n v="0.93606912322176861"/>
    <n v="6.295511717198464E-2"/>
    <n v="0"/>
    <n v="1"/>
  </r>
  <r>
    <n v="16"/>
    <x v="1"/>
    <s v="Andhra Pradesh"/>
    <s v="Visakhapatnam"/>
    <n v="40043"/>
    <x v="1"/>
    <n v="458"/>
    <n v="458"/>
    <n v="458"/>
    <n v="1374"/>
    <n v="458"/>
    <n v="458"/>
    <n v="458"/>
    <n v="1374"/>
    <n v="458"/>
    <n v="458"/>
    <n v="458"/>
    <n v="1374"/>
    <n v="458"/>
    <n v="458"/>
    <n v="458"/>
    <n v="1374"/>
    <n v="458"/>
    <n v="458"/>
    <n v="458"/>
    <n v="1374"/>
    <n v="1374"/>
    <n v="2290"/>
    <n v="2350"/>
    <n v="2290"/>
    <n v="12366"/>
    <x v="1"/>
    <x v="0"/>
    <n v="0.62814713012448131"/>
    <n v="5.3293201133144473E-2"/>
    <n v="0"/>
    <n v="0"/>
  </r>
  <r>
    <n v="17"/>
    <x v="1"/>
    <s v="Andhra Pradesh"/>
    <s v="Visakhapatnam"/>
    <n v="39119"/>
    <x v="1"/>
    <n v="518"/>
    <n v="518"/>
    <n v="518"/>
    <n v="1554"/>
    <n v="518"/>
    <n v="518"/>
    <n v="518"/>
    <n v="1554"/>
    <n v="518"/>
    <n v="518"/>
    <n v="518"/>
    <n v="1554"/>
    <n v="518"/>
    <n v="518"/>
    <n v="518"/>
    <n v="1554"/>
    <n v="518"/>
    <n v="518"/>
    <n v="518"/>
    <n v="1554"/>
    <n v="1554"/>
    <n v="2590"/>
    <n v="3008"/>
    <n v="2590"/>
    <n v="13986"/>
    <x v="0"/>
    <x v="1"/>
    <n v="8.2757574437742676E-2"/>
    <n v="3.4384537131230929E-2"/>
    <n v="0"/>
    <n v="0"/>
  </r>
  <r>
    <n v="18"/>
    <x v="1"/>
    <s v="Andhra Pradesh"/>
    <s v="Visakhapatnam"/>
    <n v="38248"/>
    <x v="1"/>
    <n v="936"/>
    <n v="936"/>
    <n v="936"/>
    <n v="2808"/>
    <n v="936"/>
    <n v="936"/>
    <n v="936"/>
    <n v="2808"/>
    <n v="936"/>
    <n v="936"/>
    <n v="936"/>
    <n v="2808"/>
    <n v="936"/>
    <n v="936"/>
    <n v="936"/>
    <n v="2808"/>
    <n v="936"/>
    <n v="936"/>
    <n v="936"/>
    <n v="2808"/>
    <n v="2808"/>
    <n v="4680"/>
    <n v="4391"/>
    <n v="4680"/>
    <n v="25272"/>
    <x v="0"/>
    <x v="0"/>
    <n v="0.3150432753083946"/>
    <n v="2.518596614537574E-2"/>
    <n v="0"/>
    <n v="0"/>
  </r>
  <r>
    <n v="19"/>
    <x v="1"/>
    <s v="Andhra Pradesh"/>
    <s v="Visakhapatnam"/>
    <n v="40036"/>
    <x v="0"/>
    <n v="647"/>
    <n v="647"/>
    <n v="647"/>
    <n v="1941"/>
    <n v="647"/>
    <n v="647"/>
    <n v="647"/>
    <n v="1941"/>
    <n v="647"/>
    <n v="647"/>
    <n v="647"/>
    <n v="1941"/>
    <n v="647"/>
    <n v="647"/>
    <n v="647"/>
    <n v="1941"/>
    <n v="647"/>
    <n v="647"/>
    <n v="647"/>
    <n v="1941"/>
    <n v="1941"/>
    <n v="3235"/>
    <n v="3081"/>
    <n v="3235"/>
    <n v="17469"/>
    <x v="1"/>
    <x v="0"/>
    <n v="0.19789086623886809"/>
    <e v="#N/A"/>
    <n v="0"/>
    <n v="0"/>
  </r>
  <r>
    <n v="20"/>
    <x v="1"/>
    <s v="Andhra Pradesh"/>
    <s v="Vizianagaram"/>
    <n v="40040"/>
    <x v="1"/>
    <n v="493"/>
    <n v="493"/>
    <n v="493"/>
    <n v="1479"/>
    <n v="493"/>
    <n v="493"/>
    <n v="493"/>
    <n v="1479"/>
    <n v="493"/>
    <n v="493"/>
    <n v="493"/>
    <n v="1479"/>
    <n v="493"/>
    <n v="493"/>
    <n v="493"/>
    <n v="1479"/>
    <n v="493"/>
    <n v="493"/>
    <n v="493"/>
    <n v="1479"/>
    <n v="1479"/>
    <n v="2465"/>
    <n v="1972"/>
    <n v="2465"/>
    <n v="13311"/>
    <x v="1"/>
    <x v="0"/>
    <n v="0.87641220174274992"/>
    <e v="#N/A"/>
    <n v="0"/>
    <n v="1"/>
  </r>
  <r>
    <n v="21"/>
    <x v="0"/>
    <s v="Arunachal Pradesh"/>
    <s v="Naharlagun"/>
    <n v="25902"/>
    <x v="1"/>
    <n v="69"/>
    <n v="0"/>
    <n v="0"/>
    <n v="69"/>
    <n v="0"/>
    <n v="0"/>
    <n v="0"/>
    <n v="0"/>
    <n v="0"/>
    <n v="0"/>
    <n v="0"/>
    <n v="0"/>
    <n v="0"/>
    <n v="0"/>
    <n v="0"/>
    <n v="0"/>
    <n v="0"/>
    <n v="0"/>
    <n v="0"/>
    <n v="0"/>
    <n v="69"/>
    <n v="0"/>
    <n v="121"/>
    <n v="0"/>
    <n v="138"/>
    <x v="0"/>
    <x v="0"/>
    <n v="0.68902891941591726"/>
    <n v="0"/>
    <n v="3"/>
    <n v="0"/>
  </r>
  <r>
    <n v="22"/>
    <x v="0"/>
    <s v="Assam"/>
    <s v="Dibrugarh"/>
    <n v="24823"/>
    <x v="1"/>
    <n v="121"/>
    <n v="121"/>
    <n v="121"/>
    <n v="363"/>
    <n v="121"/>
    <n v="121"/>
    <n v="121"/>
    <n v="363"/>
    <n v="121"/>
    <n v="120"/>
    <n v="120"/>
    <n v="361"/>
    <n v="120"/>
    <n v="120"/>
    <n v="120"/>
    <n v="360"/>
    <n v="120"/>
    <n v="120"/>
    <n v="120"/>
    <n v="360"/>
    <n v="363"/>
    <n v="603"/>
    <n v="686"/>
    <n v="602"/>
    <n v="3254"/>
    <x v="0"/>
    <x v="0"/>
    <n v="5.7241220244155899E-2"/>
    <n v="0"/>
    <n v="0"/>
    <n v="0"/>
  </r>
  <r>
    <n v="23"/>
    <x v="0"/>
    <s v="Assam"/>
    <s v="Guwahati"/>
    <n v="37316"/>
    <x v="1"/>
    <n v="205"/>
    <n v="205"/>
    <n v="205"/>
    <n v="615"/>
    <n v="205"/>
    <n v="205"/>
    <n v="205"/>
    <n v="615"/>
    <n v="204"/>
    <n v="204"/>
    <n v="204"/>
    <n v="612"/>
    <n v="204"/>
    <n v="204"/>
    <n v="204"/>
    <n v="612"/>
    <n v="203"/>
    <n v="204"/>
    <n v="204"/>
    <n v="611"/>
    <n v="615"/>
    <n v="1021"/>
    <n v="980"/>
    <n v="1022"/>
    <n v="5519"/>
    <x v="0"/>
    <x v="0"/>
    <n v="0.1983837230529103"/>
    <n v="0"/>
    <n v="0"/>
    <n v="0"/>
  </r>
  <r>
    <n v="24"/>
    <x v="0"/>
    <s v="Assam"/>
    <s v="Jorhat"/>
    <n v="37317"/>
    <x v="1"/>
    <n v="163"/>
    <n v="163"/>
    <n v="163"/>
    <n v="489"/>
    <n v="163"/>
    <n v="163"/>
    <n v="162"/>
    <n v="488"/>
    <n v="162"/>
    <n v="162"/>
    <n v="162"/>
    <n v="486"/>
    <n v="162"/>
    <n v="162"/>
    <n v="162"/>
    <n v="486"/>
    <n v="162"/>
    <n v="162"/>
    <n v="162"/>
    <n v="486"/>
    <n v="489"/>
    <n v="812"/>
    <n v="687"/>
    <n v="811"/>
    <n v="4384"/>
    <x v="0"/>
    <x v="0"/>
    <n v="0.2005538442817224"/>
    <n v="0"/>
    <n v="0"/>
    <n v="0"/>
  </r>
  <r>
    <n v="25"/>
    <x v="0"/>
    <s v="Assam"/>
    <s v="Silchar"/>
    <n v="38197"/>
    <x v="1"/>
    <n v="38"/>
    <n v="38"/>
    <n v="38"/>
    <n v="114"/>
    <n v="38"/>
    <n v="37"/>
    <n v="37"/>
    <n v="112"/>
    <n v="37"/>
    <n v="37"/>
    <n v="37"/>
    <n v="111"/>
    <n v="37"/>
    <n v="37"/>
    <n v="37"/>
    <n v="111"/>
    <n v="37"/>
    <n v="37"/>
    <n v="37"/>
    <n v="111"/>
    <n v="114"/>
    <n v="187"/>
    <n v="180"/>
    <n v="186"/>
    <n v="1007"/>
    <x v="0"/>
    <x v="0"/>
    <n v="0.49872493628364045"/>
    <n v="0"/>
    <n v="0"/>
    <n v="0"/>
  </r>
  <r>
    <n v="26"/>
    <x v="0"/>
    <s v="Assam"/>
    <s v="Tezpur"/>
    <n v="14441"/>
    <x v="1"/>
    <n v="33"/>
    <n v="32"/>
    <n v="32"/>
    <n v="97"/>
    <n v="32"/>
    <n v="31"/>
    <n v="31"/>
    <n v="94"/>
    <n v="31"/>
    <n v="31"/>
    <n v="31"/>
    <n v="93"/>
    <n v="31"/>
    <n v="31"/>
    <n v="31"/>
    <n v="93"/>
    <n v="31"/>
    <n v="31"/>
    <n v="31"/>
    <n v="93"/>
    <n v="97"/>
    <n v="157"/>
    <n v="225"/>
    <n v="156"/>
    <n v="847"/>
    <x v="0"/>
    <x v="0"/>
    <n v="0.5869245426204418"/>
    <n v="0"/>
    <n v="0"/>
    <n v="0"/>
  </r>
  <r>
    <n v="27"/>
    <x v="2"/>
    <s v="Bihar"/>
    <s v="Arrah"/>
    <n v="9535"/>
    <x v="0"/>
    <n v="101"/>
    <n v="101"/>
    <n v="101"/>
    <n v="303"/>
    <n v="101"/>
    <n v="101"/>
    <n v="101"/>
    <n v="303"/>
    <n v="101"/>
    <n v="101"/>
    <n v="101"/>
    <n v="303"/>
    <n v="101"/>
    <n v="101"/>
    <n v="101"/>
    <n v="303"/>
    <n v="101"/>
    <n v="101"/>
    <n v="101"/>
    <n v="303"/>
    <n v="303"/>
    <n v="505"/>
    <n v="630"/>
    <n v="505"/>
    <n v="2727"/>
    <x v="0"/>
    <x v="0"/>
    <n v="9.9294159327341092E-3"/>
    <n v="3.0045161049527862E-2"/>
    <n v="0"/>
    <n v="0"/>
  </r>
  <r>
    <n v="28"/>
    <x v="2"/>
    <s v="Bihar"/>
    <s v="Arrah"/>
    <n v="39994"/>
    <x v="1"/>
    <n v="226"/>
    <n v="226"/>
    <n v="226"/>
    <n v="678"/>
    <n v="226"/>
    <n v="226"/>
    <n v="226"/>
    <n v="678"/>
    <n v="226"/>
    <n v="226"/>
    <n v="226"/>
    <n v="678"/>
    <n v="226"/>
    <n v="226"/>
    <n v="226"/>
    <n v="678"/>
    <n v="226"/>
    <n v="226"/>
    <n v="226"/>
    <n v="678"/>
    <n v="678"/>
    <n v="1130"/>
    <n v="1054"/>
    <n v="1130"/>
    <n v="6102"/>
    <x v="0"/>
    <x v="0"/>
    <n v="0.68936380663543406"/>
    <n v="0"/>
    <n v="0"/>
    <n v="0"/>
  </r>
  <r>
    <n v="29"/>
    <x v="2"/>
    <s v="Bihar"/>
    <s v="Arrah"/>
    <n v="38111"/>
    <x v="0"/>
    <n v="150"/>
    <n v="150"/>
    <n v="150"/>
    <n v="450"/>
    <n v="150"/>
    <n v="150"/>
    <n v="150"/>
    <n v="450"/>
    <n v="150"/>
    <n v="150"/>
    <n v="150"/>
    <n v="450"/>
    <n v="0"/>
    <n v="150"/>
    <n v="106"/>
    <n v="256"/>
    <n v="0"/>
    <n v="0"/>
    <n v="0"/>
    <n v="0"/>
    <n v="450"/>
    <n v="450"/>
    <n v="920"/>
    <n v="556"/>
    <n v="3212"/>
    <x v="0"/>
    <x v="0"/>
    <n v="0.16978689406797942"/>
    <n v="0"/>
    <n v="0"/>
    <n v="0"/>
  </r>
  <r>
    <n v="30"/>
    <x v="2"/>
    <s v="Bihar"/>
    <s v="Bhagalpur"/>
    <n v="38755"/>
    <x v="1"/>
    <n v="470"/>
    <n v="470"/>
    <n v="470"/>
    <n v="1410"/>
    <n v="470"/>
    <n v="470"/>
    <n v="470"/>
    <n v="1410"/>
    <n v="470"/>
    <n v="470"/>
    <n v="470"/>
    <n v="1410"/>
    <n v="470"/>
    <n v="470"/>
    <n v="470"/>
    <n v="1410"/>
    <n v="470"/>
    <n v="470"/>
    <n v="470"/>
    <n v="1410"/>
    <n v="1410"/>
    <n v="2350"/>
    <n v="2106"/>
    <n v="2350"/>
    <n v="12690"/>
    <x v="0"/>
    <x v="0"/>
    <n v="7.7389795235031422E-2"/>
    <n v="5.501774766053566E-2"/>
    <n v="0"/>
    <n v="1"/>
  </r>
  <r>
    <n v="31"/>
    <x v="2"/>
    <s v="Bihar"/>
    <s v="Darbhanga"/>
    <n v="34016"/>
    <x v="1"/>
    <n v="226"/>
    <n v="226"/>
    <n v="226"/>
    <n v="678"/>
    <n v="226"/>
    <n v="226"/>
    <n v="226"/>
    <n v="678"/>
    <n v="226"/>
    <n v="226"/>
    <n v="226"/>
    <n v="678"/>
    <n v="226"/>
    <n v="226"/>
    <n v="226"/>
    <n v="678"/>
    <n v="226"/>
    <n v="226"/>
    <n v="226"/>
    <n v="678"/>
    <n v="678"/>
    <n v="1130"/>
    <n v="1238"/>
    <n v="1130"/>
    <n v="6102"/>
    <x v="0"/>
    <x v="1"/>
    <n v="0.74884475163188002"/>
    <n v="0"/>
    <n v="0"/>
    <n v="0"/>
  </r>
  <r>
    <n v="32"/>
    <x v="2"/>
    <s v="Bihar"/>
    <s v="Muzaffarpur"/>
    <n v="38753"/>
    <x v="0"/>
    <n v="334"/>
    <n v="334"/>
    <n v="334"/>
    <n v="1002"/>
    <n v="334"/>
    <n v="334"/>
    <n v="334"/>
    <n v="1002"/>
    <n v="334"/>
    <n v="334"/>
    <n v="334"/>
    <n v="1002"/>
    <n v="334"/>
    <n v="334"/>
    <n v="334"/>
    <n v="1002"/>
    <n v="334"/>
    <n v="334"/>
    <n v="334"/>
    <n v="1002"/>
    <n v="1002"/>
    <n v="1670"/>
    <n v="1588"/>
    <n v="1670"/>
    <n v="9018"/>
    <x v="0"/>
    <x v="0"/>
    <n v="0.99283800447223902"/>
    <e v="#N/A"/>
    <n v="0"/>
    <n v="0"/>
  </r>
  <r>
    <n v="33"/>
    <x v="2"/>
    <s v="Bihar"/>
    <s v="Muzaffarpur"/>
    <n v="39993"/>
    <x v="1"/>
    <n v="252"/>
    <n v="252"/>
    <n v="252"/>
    <n v="756"/>
    <n v="252"/>
    <n v="252"/>
    <n v="252"/>
    <n v="756"/>
    <n v="252"/>
    <n v="252"/>
    <n v="252"/>
    <n v="756"/>
    <n v="252"/>
    <n v="252"/>
    <n v="252"/>
    <n v="756"/>
    <n v="252"/>
    <n v="252"/>
    <n v="252"/>
    <n v="756"/>
    <n v="756"/>
    <n v="1260"/>
    <n v="1465"/>
    <n v="1260"/>
    <n v="6804"/>
    <x v="0"/>
    <x v="0"/>
    <n v="0.51974901538315554"/>
    <n v="0"/>
    <n v="1"/>
    <n v="0"/>
  </r>
  <r>
    <n v="34"/>
    <x v="2"/>
    <s v="Bihar"/>
    <s v="Muzaffarpur"/>
    <n v="38247"/>
    <x v="1"/>
    <n v="457"/>
    <n v="457"/>
    <n v="457"/>
    <n v="1371"/>
    <n v="457"/>
    <n v="457"/>
    <n v="457"/>
    <n v="1371"/>
    <n v="457"/>
    <n v="457"/>
    <n v="457"/>
    <n v="1371"/>
    <n v="457"/>
    <n v="457"/>
    <n v="457"/>
    <n v="1371"/>
    <n v="457"/>
    <n v="457"/>
    <n v="457"/>
    <n v="1371"/>
    <n v="1371"/>
    <n v="2285"/>
    <n v="2179"/>
    <n v="2285"/>
    <n v="12339"/>
    <x v="0"/>
    <x v="0"/>
    <n v="1.9385040542475585E-3"/>
    <n v="0"/>
    <n v="0"/>
    <n v="0"/>
  </r>
  <r>
    <n v="35"/>
    <x v="2"/>
    <s v="Bihar"/>
    <s v="Muzaffarpur"/>
    <n v="40035"/>
    <x v="0"/>
    <n v="351"/>
    <n v="351"/>
    <n v="351"/>
    <n v="1053"/>
    <n v="351"/>
    <n v="351"/>
    <n v="351"/>
    <n v="1053"/>
    <n v="351"/>
    <n v="351"/>
    <n v="351"/>
    <n v="1053"/>
    <n v="351"/>
    <n v="351"/>
    <n v="351"/>
    <n v="1053"/>
    <n v="349"/>
    <n v="351"/>
    <n v="351"/>
    <n v="1051"/>
    <n v="1053"/>
    <n v="1753"/>
    <n v="1874"/>
    <n v="1755"/>
    <n v="9475"/>
    <x v="0"/>
    <x v="0"/>
    <n v="0.57026495996535287"/>
    <e v="#N/A"/>
    <n v="0"/>
    <n v="0"/>
  </r>
  <r>
    <n v="36"/>
    <x v="2"/>
    <s v="Bihar"/>
    <s v="Patna"/>
    <n v="40112"/>
    <x v="1"/>
    <n v="470"/>
    <n v="470"/>
    <n v="470"/>
    <n v="1410"/>
    <n v="470"/>
    <n v="470"/>
    <n v="470"/>
    <n v="1410"/>
    <n v="470"/>
    <n v="470"/>
    <n v="470"/>
    <n v="1410"/>
    <n v="470"/>
    <n v="470"/>
    <n v="470"/>
    <n v="1410"/>
    <n v="470"/>
    <n v="470"/>
    <n v="470"/>
    <n v="1410"/>
    <n v="1410"/>
    <n v="2350"/>
    <n v="2112"/>
    <n v="2350"/>
    <n v="12690"/>
    <x v="0"/>
    <x v="0"/>
    <n v="0.83362955459426691"/>
    <n v="0"/>
    <n v="0"/>
    <n v="0"/>
  </r>
  <r>
    <n v="37"/>
    <x v="2"/>
    <s v="Bihar"/>
    <s v="Patna"/>
    <n v="40111"/>
    <x v="1"/>
    <n v="232"/>
    <n v="232"/>
    <n v="232"/>
    <n v="696"/>
    <n v="232"/>
    <n v="232"/>
    <n v="232"/>
    <n v="696"/>
    <n v="232"/>
    <n v="232"/>
    <n v="232"/>
    <n v="696"/>
    <n v="232"/>
    <n v="232"/>
    <n v="232"/>
    <n v="696"/>
    <n v="232"/>
    <n v="232"/>
    <n v="232"/>
    <n v="696"/>
    <n v="696"/>
    <n v="1160"/>
    <n v="1398"/>
    <n v="1160"/>
    <n v="6264"/>
    <x v="0"/>
    <x v="0"/>
    <n v="0.703281133675695"/>
    <n v="0"/>
    <n v="0"/>
    <n v="0"/>
  </r>
  <r>
    <n v="38"/>
    <x v="2"/>
    <s v="Bihar"/>
    <s v="Patna"/>
    <n v="38696"/>
    <x v="1"/>
    <n v="470"/>
    <n v="470"/>
    <n v="470"/>
    <n v="1410"/>
    <n v="470"/>
    <n v="470"/>
    <n v="470"/>
    <n v="1410"/>
    <n v="470"/>
    <n v="470"/>
    <n v="470"/>
    <n v="1410"/>
    <n v="470"/>
    <n v="470"/>
    <n v="470"/>
    <n v="1410"/>
    <n v="470"/>
    <n v="470"/>
    <n v="470"/>
    <n v="1410"/>
    <n v="1410"/>
    <n v="2350"/>
    <n v="2112"/>
    <n v="2350"/>
    <n v="12690"/>
    <x v="0"/>
    <x v="0"/>
    <n v="0.32466720913264902"/>
    <n v="2.6915708812260537E-2"/>
    <n v="0"/>
    <n v="0"/>
  </r>
  <r>
    <n v="39"/>
    <x v="2"/>
    <s v="Bihar"/>
    <s v="Patna"/>
    <n v="40046"/>
    <x v="1"/>
    <n v="232"/>
    <n v="232"/>
    <n v="232"/>
    <n v="696"/>
    <n v="232"/>
    <n v="232"/>
    <n v="232"/>
    <n v="696"/>
    <n v="232"/>
    <n v="232"/>
    <n v="232"/>
    <n v="696"/>
    <n v="232"/>
    <n v="232"/>
    <n v="232"/>
    <n v="696"/>
    <n v="232"/>
    <n v="232"/>
    <n v="232"/>
    <n v="696"/>
    <n v="696"/>
    <n v="1160"/>
    <n v="1218"/>
    <n v="1160"/>
    <n v="6264"/>
    <x v="1"/>
    <x v="1"/>
    <n v="0.75128439736276365"/>
    <n v="2.8198433420365536E-2"/>
    <n v="0"/>
    <n v="0"/>
  </r>
  <r>
    <n v="40"/>
    <x v="2"/>
    <s v="Bihar"/>
    <s v="Patna"/>
    <n v="38762"/>
    <x v="0"/>
    <n v="290"/>
    <n v="290"/>
    <n v="290"/>
    <n v="870"/>
    <n v="290"/>
    <n v="290"/>
    <n v="290"/>
    <n v="870"/>
    <n v="290"/>
    <n v="290"/>
    <n v="290"/>
    <n v="870"/>
    <n v="290"/>
    <n v="290"/>
    <n v="290"/>
    <n v="870"/>
    <n v="290"/>
    <n v="290"/>
    <n v="290"/>
    <n v="870"/>
    <n v="870"/>
    <n v="1450"/>
    <n v="1380"/>
    <n v="1450"/>
    <n v="7830"/>
    <x v="0"/>
    <x v="0"/>
    <n v="0.35416042154960248"/>
    <n v="6.3693270735524263E-2"/>
    <n v="0"/>
    <n v="1"/>
  </r>
  <r>
    <n v="41"/>
    <x v="2"/>
    <s v="Bihar"/>
    <s v="Patna"/>
    <n v="11365"/>
    <x v="0"/>
    <n v="220"/>
    <n v="220"/>
    <n v="220"/>
    <n v="660"/>
    <n v="220"/>
    <n v="220"/>
    <n v="220"/>
    <n v="660"/>
    <n v="220"/>
    <n v="220"/>
    <n v="220"/>
    <n v="660"/>
    <n v="220"/>
    <n v="220"/>
    <n v="220"/>
    <n v="660"/>
    <n v="220"/>
    <n v="220"/>
    <n v="220"/>
    <n v="660"/>
    <n v="660"/>
    <n v="1100"/>
    <n v="1226"/>
    <n v="1100"/>
    <n v="5940"/>
    <x v="0"/>
    <x v="0"/>
    <n v="0.89883110926500298"/>
    <n v="1.7930677894114823E-2"/>
    <n v="0"/>
    <n v="0"/>
  </r>
  <r>
    <n v="42"/>
    <x v="2"/>
    <s v="Bihar"/>
    <s v="Patna"/>
    <n v="9441"/>
    <x v="0"/>
    <n v="346"/>
    <n v="346"/>
    <n v="346"/>
    <n v="1038"/>
    <n v="346"/>
    <n v="346"/>
    <n v="346"/>
    <n v="1038"/>
    <n v="346"/>
    <n v="346"/>
    <n v="346"/>
    <n v="1038"/>
    <n v="346"/>
    <n v="346"/>
    <n v="346"/>
    <n v="1038"/>
    <n v="346"/>
    <n v="346"/>
    <n v="346"/>
    <n v="1038"/>
    <n v="1038"/>
    <n v="1730"/>
    <n v="1604"/>
    <n v="1730"/>
    <n v="9342"/>
    <x v="0"/>
    <x v="0"/>
    <n v="0.85435977687831255"/>
    <n v="9.5029821073558646E-2"/>
    <n v="0"/>
    <n v="0"/>
  </r>
  <r>
    <n v="43"/>
    <x v="2"/>
    <s v="Bihar"/>
    <s v="Patna"/>
    <n v="22988"/>
    <x v="0"/>
    <n v="220"/>
    <n v="220"/>
    <n v="220"/>
    <n v="660"/>
    <n v="220"/>
    <n v="220"/>
    <n v="220"/>
    <n v="660"/>
    <n v="220"/>
    <n v="220"/>
    <n v="220"/>
    <n v="660"/>
    <n v="220"/>
    <n v="220"/>
    <n v="220"/>
    <n v="660"/>
    <n v="220"/>
    <n v="220"/>
    <n v="220"/>
    <n v="660"/>
    <n v="660"/>
    <n v="1100"/>
    <n v="1255"/>
    <n v="1100"/>
    <n v="5940"/>
    <x v="0"/>
    <x v="0"/>
    <n v="0.92704853569791568"/>
    <e v="#N/A"/>
    <n v="0"/>
    <n v="0"/>
  </r>
  <r>
    <n v="44"/>
    <x v="2"/>
    <s v="Bihar"/>
    <s v="Patna"/>
    <n v="35607"/>
    <x v="0"/>
    <n v="375"/>
    <n v="375"/>
    <n v="375"/>
    <n v="1125"/>
    <n v="375"/>
    <n v="375"/>
    <n v="375"/>
    <n v="1125"/>
    <n v="375"/>
    <n v="375"/>
    <n v="375"/>
    <n v="1125"/>
    <n v="375"/>
    <n v="375"/>
    <n v="375"/>
    <n v="1125"/>
    <n v="375"/>
    <n v="375"/>
    <n v="375"/>
    <n v="1125"/>
    <n v="1125"/>
    <n v="1875"/>
    <n v="1720"/>
    <n v="1875"/>
    <n v="10125"/>
    <x v="0"/>
    <x v="0"/>
    <n v="0.6011723408700268"/>
    <e v="#N/A"/>
    <n v="0"/>
    <n v="0"/>
  </r>
  <r>
    <n v="45"/>
    <x v="2"/>
    <s v="Bihar"/>
    <s v="Patna"/>
    <n v="15869"/>
    <x v="0"/>
    <n v="220"/>
    <n v="220"/>
    <n v="220"/>
    <n v="660"/>
    <n v="220"/>
    <n v="220"/>
    <n v="220"/>
    <n v="660"/>
    <n v="220"/>
    <n v="220"/>
    <n v="220"/>
    <n v="660"/>
    <n v="220"/>
    <n v="220"/>
    <n v="220"/>
    <n v="660"/>
    <n v="220"/>
    <n v="220"/>
    <n v="220"/>
    <n v="660"/>
    <n v="660"/>
    <n v="1100"/>
    <n v="1105"/>
    <n v="1100"/>
    <n v="5940"/>
    <x v="0"/>
    <x v="0"/>
    <n v="0.37896156376120538"/>
    <n v="0"/>
    <n v="0"/>
    <n v="0"/>
  </r>
  <r>
    <n v="46"/>
    <x v="2"/>
    <s v="Bihar"/>
    <s v="Patna"/>
    <n v="8372"/>
    <x v="0"/>
    <n v="225"/>
    <n v="225"/>
    <n v="225"/>
    <n v="675"/>
    <n v="225"/>
    <n v="225"/>
    <n v="225"/>
    <n v="675"/>
    <n v="225"/>
    <n v="225"/>
    <n v="225"/>
    <n v="675"/>
    <n v="225"/>
    <n v="225"/>
    <n v="225"/>
    <n v="675"/>
    <n v="225"/>
    <n v="225"/>
    <n v="225"/>
    <n v="675"/>
    <n v="675"/>
    <n v="1125"/>
    <n v="1320"/>
    <n v="1125"/>
    <n v="6075"/>
    <x v="0"/>
    <x v="0"/>
    <n v="0.72695956421592367"/>
    <n v="0"/>
    <n v="0"/>
    <n v="0"/>
  </r>
  <r>
    <n v="47"/>
    <x v="2"/>
    <s v="Bihar"/>
    <s v="Patna"/>
    <n v="22989"/>
    <x v="0"/>
    <n v="420"/>
    <n v="420"/>
    <n v="420"/>
    <n v="1260"/>
    <n v="420"/>
    <n v="420"/>
    <n v="420"/>
    <n v="1260"/>
    <n v="420"/>
    <n v="420"/>
    <n v="420"/>
    <n v="1260"/>
    <n v="420"/>
    <n v="420"/>
    <n v="420"/>
    <n v="1260"/>
    <n v="420"/>
    <n v="420"/>
    <n v="420"/>
    <n v="1260"/>
    <n v="1260"/>
    <n v="2100"/>
    <n v="2000"/>
    <n v="2100"/>
    <n v="11340"/>
    <x v="0"/>
    <x v="0"/>
    <n v="0.90639896522005403"/>
    <n v="2.9620853080568721E-2"/>
    <n v="0"/>
    <n v="0"/>
  </r>
  <r>
    <n v="48"/>
    <x v="2"/>
    <s v="Bihar"/>
    <s v="Patna"/>
    <n v="8566"/>
    <x v="0"/>
    <n v="320"/>
    <n v="320"/>
    <n v="320"/>
    <n v="960"/>
    <n v="320"/>
    <n v="320"/>
    <n v="320"/>
    <n v="960"/>
    <n v="320"/>
    <n v="320"/>
    <n v="320"/>
    <n v="960"/>
    <n v="320"/>
    <n v="320"/>
    <n v="320"/>
    <n v="960"/>
    <n v="320"/>
    <n v="320"/>
    <n v="320"/>
    <n v="960"/>
    <n v="960"/>
    <n v="1600"/>
    <n v="1648"/>
    <n v="1600"/>
    <n v="8640"/>
    <x v="0"/>
    <x v="0"/>
    <n v="0.60515247659156168"/>
    <e v="#N/A"/>
    <n v="0"/>
    <n v="0"/>
  </r>
  <r>
    <n v="49"/>
    <x v="2"/>
    <s v="Bihar"/>
    <s v="Patna"/>
    <n v="8389"/>
    <x v="0"/>
    <n v="368"/>
    <n v="368"/>
    <n v="368"/>
    <n v="1104"/>
    <n v="368"/>
    <n v="368"/>
    <n v="368"/>
    <n v="1104"/>
    <n v="368"/>
    <n v="368"/>
    <n v="368"/>
    <n v="1104"/>
    <n v="368"/>
    <n v="368"/>
    <n v="368"/>
    <n v="1104"/>
    <n v="368"/>
    <n v="368"/>
    <n v="368"/>
    <n v="1104"/>
    <n v="1104"/>
    <n v="1840"/>
    <n v="1738"/>
    <n v="1840"/>
    <n v="9936"/>
    <x v="0"/>
    <x v="0"/>
    <n v="0.69920584627670668"/>
    <e v="#N/A"/>
    <n v="0"/>
    <n v="0"/>
  </r>
  <r>
    <n v="50"/>
    <x v="2"/>
    <s v="Bihar"/>
    <s v="Patna"/>
    <n v="16665"/>
    <x v="0"/>
    <n v="266"/>
    <n v="266"/>
    <n v="266"/>
    <n v="798"/>
    <n v="266"/>
    <n v="266"/>
    <n v="266"/>
    <n v="798"/>
    <n v="266"/>
    <n v="266"/>
    <n v="266"/>
    <n v="798"/>
    <n v="266"/>
    <n v="266"/>
    <n v="266"/>
    <n v="798"/>
    <n v="266"/>
    <n v="266"/>
    <n v="266"/>
    <n v="798"/>
    <n v="798"/>
    <n v="1330"/>
    <n v="1464"/>
    <n v="1330"/>
    <n v="7182"/>
    <x v="0"/>
    <x v="0"/>
    <n v="0.31523173852481767"/>
    <e v="#N/A"/>
    <n v="0"/>
    <n v="0"/>
  </r>
  <r>
    <n v="51"/>
    <x v="2"/>
    <s v="Bihar"/>
    <s v="Patna"/>
    <n v="33998"/>
    <x v="0"/>
    <n v="400"/>
    <n v="400"/>
    <n v="400"/>
    <n v="1200"/>
    <n v="400"/>
    <n v="400"/>
    <n v="400"/>
    <n v="1200"/>
    <n v="400"/>
    <n v="400"/>
    <n v="400"/>
    <n v="1200"/>
    <n v="400"/>
    <n v="400"/>
    <n v="400"/>
    <n v="1200"/>
    <n v="400"/>
    <n v="400"/>
    <n v="400"/>
    <n v="1200"/>
    <n v="1200"/>
    <n v="2000"/>
    <n v="1910"/>
    <n v="2000"/>
    <n v="10800"/>
    <x v="0"/>
    <x v="0"/>
    <n v="0.35625758738251367"/>
    <e v="#N/A"/>
    <n v="0"/>
    <n v="0"/>
  </r>
  <r>
    <n v="52"/>
    <x v="2"/>
    <s v="Bihar"/>
    <s v="Patna"/>
    <n v="8320"/>
    <x v="0"/>
    <n v="310"/>
    <n v="310"/>
    <n v="310"/>
    <n v="930"/>
    <n v="310"/>
    <n v="310"/>
    <n v="310"/>
    <n v="930"/>
    <n v="310"/>
    <n v="310"/>
    <n v="310"/>
    <n v="930"/>
    <n v="310"/>
    <n v="310"/>
    <n v="310"/>
    <n v="930"/>
    <n v="310"/>
    <n v="310"/>
    <n v="310"/>
    <n v="930"/>
    <n v="930"/>
    <n v="1550"/>
    <n v="1575"/>
    <n v="1550"/>
    <n v="8370"/>
    <x v="0"/>
    <x v="0"/>
    <n v="0.29585800021671327"/>
    <e v="#N/A"/>
    <n v="0"/>
    <n v="0"/>
  </r>
  <r>
    <n v="53"/>
    <x v="2"/>
    <s v="Bihar"/>
    <s v="Patna"/>
    <n v="2790"/>
    <x v="0"/>
    <n v="335"/>
    <n v="335"/>
    <n v="335"/>
    <n v="1005"/>
    <n v="335"/>
    <n v="335"/>
    <n v="335"/>
    <n v="1005"/>
    <n v="335"/>
    <n v="335"/>
    <n v="335"/>
    <n v="1005"/>
    <n v="335"/>
    <n v="335"/>
    <n v="335"/>
    <n v="1005"/>
    <n v="335"/>
    <n v="335"/>
    <n v="335"/>
    <n v="1005"/>
    <n v="1005"/>
    <n v="1675"/>
    <n v="1646"/>
    <n v="1675"/>
    <n v="9045"/>
    <x v="1"/>
    <x v="0"/>
    <n v="0.82763133856214466"/>
    <n v="3.3071147658205222E-2"/>
    <n v="0"/>
    <n v="0"/>
  </r>
  <r>
    <n v="54"/>
    <x v="2"/>
    <s v="Bihar"/>
    <s v="Patna"/>
    <n v="37518"/>
    <x v="0"/>
    <n v="306"/>
    <n v="306"/>
    <n v="306"/>
    <n v="918"/>
    <n v="306"/>
    <n v="306"/>
    <n v="306"/>
    <n v="918"/>
    <n v="306"/>
    <n v="306"/>
    <n v="306"/>
    <n v="918"/>
    <n v="306"/>
    <n v="306"/>
    <n v="306"/>
    <n v="918"/>
    <n v="306"/>
    <n v="306"/>
    <n v="306"/>
    <n v="918"/>
    <n v="918"/>
    <n v="1530"/>
    <n v="1474"/>
    <n v="1530"/>
    <n v="8262"/>
    <x v="0"/>
    <x v="0"/>
    <n v="1.223562240518683E-2"/>
    <n v="3.6649214659685861E-2"/>
    <n v="0"/>
    <n v="0"/>
  </r>
  <r>
    <n v="55"/>
    <x v="2"/>
    <s v="Bihar"/>
    <s v="Patna"/>
    <n v="7906"/>
    <x v="0"/>
    <n v="250"/>
    <n v="250"/>
    <n v="250"/>
    <n v="750"/>
    <n v="250"/>
    <n v="250"/>
    <n v="250"/>
    <n v="750"/>
    <n v="250"/>
    <n v="250"/>
    <n v="250"/>
    <n v="750"/>
    <n v="250"/>
    <n v="250"/>
    <n v="250"/>
    <n v="750"/>
    <n v="250"/>
    <n v="250"/>
    <n v="250"/>
    <n v="750"/>
    <n v="750"/>
    <n v="1250"/>
    <n v="1266"/>
    <n v="1250"/>
    <n v="6750"/>
    <x v="1"/>
    <x v="0"/>
    <n v="0.62679818036003931"/>
    <n v="0"/>
    <n v="0"/>
    <n v="0"/>
  </r>
  <r>
    <n v="56"/>
    <x v="2"/>
    <s v="Bihar"/>
    <s v="Patna"/>
    <n v="15320"/>
    <x v="0"/>
    <n v="266"/>
    <n v="266"/>
    <n v="266"/>
    <n v="798"/>
    <n v="266"/>
    <n v="266"/>
    <n v="266"/>
    <n v="798"/>
    <n v="266"/>
    <n v="266"/>
    <n v="266"/>
    <n v="798"/>
    <n v="266"/>
    <n v="266"/>
    <n v="266"/>
    <n v="798"/>
    <n v="266"/>
    <n v="266"/>
    <n v="266"/>
    <n v="798"/>
    <n v="798"/>
    <n v="1330"/>
    <n v="1330"/>
    <n v="1330"/>
    <n v="7182"/>
    <x v="0"/>
    <x v="0"/>
    <n v="0.99684840668232011"/>
    <n v="7.8756674294431728E-2"/>
    <n v="2"/>
    <n v="0"/>
  </r>
  <r>
    <n v="57"/>
    <x v="2"/>
    <s v="Bihar"/>
    <s v="Patna"/>
    <n v="4869"/>
    <x v="0"/>
    <n v="266"/>
    <n v="266"/>
    <n v="266"/>
    <n v="798"/>
    <n v="266"/>
    <n v="266"/>
    <n v="266"/>
    <n v="798"/>
    <n v="266"/>
    <n v="266"/>
    <n v="266"/>
    <n v="798"/>
    <n v="266"/>
    <n v="266"/>
    <n v="266"/>
    <n v="798"/>
    <n v="266"/>
    <n v="266"/>
    <n v="266"/>
    <n v="798"/>
    <n v="798"/>
    <n v="1330"/>
    <n v="1340"/>
    <n v="1330"/>
    <n v="7182"/>
    <x v="0"/>
    <x v="0"/>
    <n v="0.56853264917813195"/>
    <n v="0"/>
    <n v="0"/>
    <n v="0"/>
  </r>
  <r>
    <n v="58"/>
    <x v="2"/>
    <s v="Bihar"/>
    <s v="Patna"/>
    <n v="1295"/>
    <x v="0"/>
    <n v="276"/>
    <n v="276"/>
    <n v="276"/>
    <n v="828"/>
    <n v="276"/>
    <n v="276"/>
    <n v="276"/>
    <n v="828"/>
    <n v="276"/>
    <n v="276"/>
    <n v="276"/>
    <n v="828"/>
    <n v="276"/>
    <n v="276"/>
    <n v="276"/>
    <n v="828"/>
    <n v="276"/>
    <n v="276"/>
    <n v="276"/>
    <n v="828"/>
    <n v="828"/>
    <n v="1380"/>
    <n v="1421"/>
    <n v="1380"/>
    <n v="7452"/>
    <x v="0"/>
    <x v="1"/>
    <n v="5.6273582802959021E-2"/>
    <n v="0"/>
    <n v="0"/>
    <n v="0"/>
  </r>
  <r>
    <n v="59"/>
    <x v="2"/>
    <s v="Bihar"/>
    <s v="Patna"/>
    <n v="16698"/>
    <x v="0"/>
    <n v="317"/>
    <n v="317"/>
    <n v="317"/>
    <n v="951"/>
    <n v="317"/>
    <n v="317"/>
    <n v="317"/>
    <n v="951"/>
    <n v="317"/>
    <n v="317"/>
    <n v="317"/>
    <n v="951"/>
    <n v="317"/>
    <n v="317"/>
    <n v="317"/>
    <n v="951"/>
    <n v="317"/>
    <n v="317"/>
    <n v="317"/>
    <n v="951"/>
    <n v="951"/>
    <n v="1585"/>
    <n v="1534"/>
    <n v="1585"/>
    <n v="8559"/>
    <x v="0"/>
    <x v="0"/>
    <n v="0.49319685346200659"/>
    <n v="2.414615697911212E-2"/>
    <n v="0"/>
    <n v="0"/>
  </r>
  <r>
    <n v="60"/>
    <x v="2"/>
    <s v="Bihar"/>
    <s v="Patna"/>
    <n v="7908"/>
    <x v="0"/>
    <n v="266"/>
    <n v="266"/>
    <n v="266"/>
    <n v="798"/>
    <n v="266"/>
    <n v="266"/>
    <n v="266"/>
    <n v="798"/>
    <n v="266"/>
    <n v="266"/>
    <n v="266"/>
    <n v="798"/>
    <n v="266"/>
    <n v="266"/>
    <n v="266"/>
    <n v="798"/>
    <n v="266"/>
    <n v="266"/>
    <n v="266"/>
    <n v="798"/>
    <n v="798"/>
    <n v="1330"/>
    <n v="1299"/>
    <n v="1330"/>
    <n v="7182"/>
    <x v="0"/>
    <x v="0"/>
    <n v="0.23628425893018368"/>
    <n v="0"/>
    <n v="0"/>
    <n v="0"/>
  </r>
  <r>
    <n v="61"/>
    <x v="2"/>
    <s v="Bihar"/>
    <s v="Patna"/>
    <n v="37362"/>
    <x v="0"/>
    <n v="235"/>
    <n v="235"/>
    <n v="235"/>
    <n v="705"/>
    <n v="235"/>
    <n v="235"/>
    <n v="235"/>
    <n v="705"/>
    <n v="235"/>
    <n v="235"/>
    <n v="235"/>
    <n v="705"/>
    <n v="235"/>
    <n v="235"/>
    <n v="235"/>
    <n v="705"/>
    <n v="235"/>
    <n v="235"/>
    <n v="235"/>
    <n v="705"/>
    <n v="705"/>
    <n v="1175"/>
    <n v="1270"/>
    <n v="1175"/>
    <n v="6345"/>
    <x v="0"/>
    <x v="0"/>
    <n v="0.85335153243274697"/>
    <n v="0"/>
    <n v="0"/>
    <n v="0"/>
  </r>
  <r>
    <n v="62"/>
    <x v="2"/>
    <s v="Bihar"/>
    <s v="Patna"/>
    <n v="37365"/>
    <x v="0"/>
    <n v="330"/>
    <n v="330"/>
    <n v="330"/>
    <n v="990"/>
    <n v="330"/>
    <n v="330"/>
    <n v="330"/>
    <n v="990"/>
    <n v="330"/>
    <n v="330"/>
    <n v="330"/>
    <n v="990"/>
    <n v="330"/>
    <n v="330"/>
    <n v="330"/>
    <n v="990"/>
    <n v="330"/>
    <n v="330"/>
    <n v="330"/>
    <n v="990"/>
    <n v="990"/>
    <n v="1650"/>
    <n v="1606"/>
    <n v="1650"/>
    <n v="8910"/>
    <x v="0"/>
    <x v="0"/>
    <n v="0.12828785486267569"/>
    <n v="0"/>
    <n v="0"/>
    <n v="0"/>
  </r>
  <r>
    <n v="63"/>
    <x v="2"/>
    <s v="Bihar"/>
    <s v="Patna"/>
    <n v="16699"/>
    <x v="0"/>
    <n v="286"/>
    <n v="286"/>
    <n v="286"/>
    <n v="858"/>
    <n v="286"/>
    <n v="286"/>
    <n v="286"/>
    <n v="858"/>
    <n v="286"/>
    <n v="286"/>
    <n v="286"/>
    <n v="858"/>
    <n v="286"/>
    <n v="286"/>
    <n v="286"/>
    <n v="858"/>
    <n v="286"/>
    <n v="286"/>
    <n v="286"/>
    <n v="858"/>
    <n v="858"/>
    <n v="1430"/>
    <n v="1519"/>
    <n v="1430"/>
    <n v="7722"/>
    <x v="0"/>
    <x v="0"/>
    <n v="8.8284078517576359E-2"/>
    <n v="0"/>
    <n v="0"/>
    <n v="0"/>
  </r>
  <r>
    <n v="64"/>
    <x v="2"/>
    <s v="Bihar"/>
    <s v="Patna"/>
    <n v="15284"/>
    <x v="0"/>
    <n v="375"/>
    <n v="375"/>
    <n v="375"/>
    <n v="1125"/>
    <n v="375"/>
    <n v="375"/>
    <n v="375"/>
    <n v="1125"/>
    <n v="375"/>
    <n v="375"/>
    <n v="375"/>
    <n v="1125"/>
    <n v="375"/>
    <n v="375"/>
    <n v="375"/>
    <n v="1125"/>
    <n v="375"/>
    <n v="375"/>
    <n v="375"/>
    <n v="1125"/>
    <n v="1125"/>
    <n v="1875"/>
    <n v="1825"/>
    <n v="1875"/>
    <n v="10125"/>
    <x v="0"/>
    <x v="0"/>
    <n v="0.58734155423713663"/>
    <n v="1.5523932729624839E-2"/>
    <n v="0"/>
    <n v="0"/>
  </r>
  <r>
    <n v="65"/>
    <x v="2"/>
    <s v="Bihar"/>
    <s v="Patna"/>
    <n v="7982"/>
    <x v="0"/>
    <n v="325"/>
    <n v="325"/>
    <n v="325"/>
    <n v="975"/>
    <n v="325"/>
    <n v="325"/>
    <n v="325"/>
    <n v="975"/>
    <n v="325"/>
    <n v="325"/>
    <n v="325"/>
    <n v="975"/>
    <n v="325"/>
    <n v="325"/>
    <n v="325"/>
    <n v="975"/>
    <n v="325"/>
    <n v="325"/>
    <n v="325"/>
    <n v="975"/>
    <n v="975"/>
    <n v="1625"/>
    <n v="1576"/>
    <n v="1625"/>
    <n v="8775"/>
    <x v="0"/>
    <x v="0"/>
    <n v="0.9712904915970948"/>
    <n v="2.2634305972184347E-2"/>
    <n v="0"/>
    <n v="0"/>
  </r>
  <r>
    <n v="66"/>
    <x v="2"/>
    <s v="Bihar"/>
    <s v="Patna"/>
    <n v="34022"/>
    <x v="0"/>
    <n v="276"/>
    <n v="276"/>
    <n v="276"/>
    <n v="828"/>
    <n v="276"/>
    <n v="276"/>
    <n v="276"/>
    <n v="828"/>
    <n v="276"/>
    <n v="276"/>
    <n v="276"/>
    <n v="828"/>
    <n v="276"/>
    <n v="276"/>
    <n v="276"/>
    <n v="828"/>
    <n v="276"/>
    <n v="276"/>
    <n v="276"/>
    <n v="828"/>
    <n v="828"/>
    <n v="1380"/>
    <n v="1561"/>
    <n v="1380"/>
    <n v="7452"/>
    <x v="0"/>
    <x v="0"/>
    <n v="4.4980260265170879E-2"/>
    <e v="#N/A"/>
    <n v="0"/>
    <n v="0"/>
  </r>
  <r>
    <n v="67"/>
    <x v="2"/>
    <s v="Bihar"/>
    <s v="Purnea"/>
    <n v="15902"/>
    <x v="1"/>
    <n v="457"/>
    <n v="457"/>
    <n v="457"/>
    <n v="1371"/>
    <n v="457"/>
    <n v="457"/>
    <n v="457"/>
    <n v="1371"/>
    <n v="457"/>
    <n v="457"/>
    <n v="457"/>
    <n v="1371"/>
    <n v="457"/>
    <n v="457"/>
    <n v="457"/>
    <n v="1371"/>
    <n v="457"/>
    <n v="457"/>
    <n v="457"/>
    <n v="1371"/>
    <n v="1371"/>
    <n v="2285"/>
    <n v="2008"/>
    <n v="2285"/>
    <n v="12339"/>
    <x v="0"/>
    <x v="0"/>
    <n v="0.98930528054715416"/>
    <e v="#N/A"/>
    <n v="0"/>
    <n v="0"/>
  </r>
  <r>
    <n v="68"/>
    <x v="2"/>
    <s v="Bihar"/>
    <s v="Samastipur"/>
    <n v="8121"/>
    <x v="0"/>
    <n v="180"/>
    <n v="180"/>
    <n v="180"/>
    <n v="540"/>
    <n v="180"/>
    <n v="180"/>
    <n v="180"/>
    <n v="540"/>
    <n v="180"/>
    <n v="180"/>
    <n v="180"/>
    <n v="540"/>
    <n v="180"/>
    <n v="180"/>
    <n v="180"/>
    <n v="540"/>
    <n v="180"/>
    <n v="180"/>
    <n v="180"/>
    <n v="540"/>
    <n v="540"/>
    <n v="900"/>
    <n v="931"/>
    <n v="900"/>
    <n v="4860"/>
    <x v="0"/>
    <x v="0"/>
    <n v="0.18380781020104664"/>
    <n v="2.6345083487940631E-2"/>
    <n v="0"/>
    <n v="0"/>
  </r>
  <r>
    <n v="69"/>
    <x v="2"/>
    <s v="Bihar"/>
    <s v="Purnea"/>
    <n v="7995"/>
    <x v="0"/>
    <n v="211"/>
    <n v="211"/>
    <n v="211"/>
    <n v="633"/>
    <n v="211"/>
    <n v="211"/>
    <n v="211"/>
    <n v="633"/>
    <n v="211"/>
    <n v="211"/>
    <n v="211"/>
    <n v="633"/>
    <n v="211"/>
    <n v="211"/>
    <n v="211"/>
    <n v="633"/>
    <n v="211"/>
    <n v="211"/>
    <n v="211"/>
    <n v="633"/>
    <n v="633"/>
    <n v="1055"/>
    <n v="1523"/>
    <n v="1055"/>
    <n v="5697"/>
    <x v="0"/>
    <x v="0"/>
    <n v="0.70735968635409785"/>
    <n v="1.6763332861790919E-2"/>
    <n v="0"/>
    <n v="0"/>
  </r>
  <r>
    <n v="70"/>
    <x v="3"/>
    <s v="Chhattisgarh"/>
    <s v="Bhilai Nagar"/>
    <n v="7984"/>
    <x v="1"/>
    <n v="680"/>
    <n v="679"/>
    <n v="679"/>
    <n v="2038"/>
    <n v="679"/>
    <n v="679"/>
    <n v="679"/>
    <n v="2037"/>
    <n v="679"/>
    <n v="679"/>
    <n v="679"/>
    <n v="2037"/>
    <n v="679"/>
    <n v="679"/>
    <n v="679"/>
    <n v="2037"/>
    <n v="679"/>
    <n v="679"/>
    <n v="679"/>
    <n v="2037"/>
    <n v="2038"/>
    <n v="3395"/>
    <n v="3167"/>
    <n v="3395"/>
    <n v="18335"/>
    <x v="0"/>
    <x v="0"/>
    <n v="0.30464884024207506"/>
    <n v="0"/>
    <n v="2"/>
    <n v="0"/>
  </r>
  <r>
    <n v="71"/>
    <x v="3"/>
    <s v="Chhattisgarh"/>
    <s v="Bilaspur"/>
    <n v="34045"/>
    <x v="1"/>
    <n v="451"/>
    <n v="451"/>
    <n v="451"/>
    <n v="1353"/>
    <n v="451"/>
    <n v="451"/>
    <n v="451"/>
    <n v="1353"/>
    <n v="451"/>
    <n v="451"/>
    <n v="451"/>
    <n v="1353"/>
    <n v="451"/>
    <n v="451"/>
    <n v="451"/>
    <n v="1353"/>
    <n v="451"/>
    <n v="451"/>
    <n v="451"/>
    <n v="1353"/>
    <n v="1353"/>
    <n v="2255"/>
    <n v="2708"/>
    <n v="2255"/>
    <n v="12177"/>
    <x v="0"/>
    <x v="0"/>
    <n v="0.21245350060885071"/>
    <n v="0"/>
    <n v="0"/>
    <n v="0"/>
  </r>
  <r>
    <n v="72"/>
    <x v="3"/>
    <s v="Chhattisgarh"/>
    <s v="Raipur"/>
    <n v="4874"/>
    <x v="1"/>
    <n v="904"/>
    <n v="904"/>
    <n v="904"/>
    <n v="2712"/>
    <n v="904"/>
    <n v="904"/>
    <n v="904"/>
    <n v="2712"/>
    <n v="904"/>
    <n v="904"/>
    <n v="904"/>
    <n v="2712"/>
    <n v="904"/>
    <n v="904"/>
    <n v="904"/>
    <n v="2712"/>
    <n v="903"/>
    <n v="904"/>
    <n v="904"/>
    <n v="2711"/>
    <n v="2712"/>
    <n v="4519"/>
    <n v="4321"/>
    <n v="4520"/>
    <n v="24407"/>
    <x v="0"/>
    <x v="0"/>
    <n v="0.28526030130805979"/>
    <n v="0"/>
    <n v="0"/>
    <n v="0"/>
  </r>
  <r>
    <n v="73"/>
    <x v="4"/>
    <s v="Delhi"/>
    <s v="New Delhi"/>
    <n v="8046"/>
    <x v="2"/>
    <n v="705"/>
    <n v="705"/>
    <n v="705"/>
    <n v="2115"/>
    <n v="705"/>
    <n v="705"/>
    <n v="705"/>
    <n v="2115"/>
    <n v="705"/>
    <n v="705"/>
    <n v="705"/>
    <n v="2115"/>
    <n v="705"/>
    <n v="705"/>
    <n v="705"/>
    <n v="2115"/>
    <n v="705"/>
    <n v="705"/>
    <n v="705"/>
    <n v="2115"/>
    <n v="2115"/>
    <n v="3525"/>
    <n v="3671"/>
    <n v="3525"/>
    <n v="19035"/>
    <x v="0"/>
    <x v="0"/>
    <n v="0.77070153263591368"/>
    <n v="1.5538077882217532E-2"/>
    <n v="0"/>
    <n v="0"/>
  </r>
  <r>
    <n v="74"/>
    <x v="4"/>
    <s v="Delhi"/>
    <s v="New Delhi"/>
    <n v="2837"/>
    <x v="2"/>
    <n v="851"/>
    <n v="851"/>
    <n v="851"/>
    <n v="2553"/>
    <n v="851"/>
    <n v="851"/>
    <n v="851"/>
    <n v="2553"/>
    <n v="851"/>
    <n v="851"/>
    <n v="851"/>
    <n v="2553"/>
    <n v="851"/>
    <n v="851"/>
    <n v="851"/>
    <n v="2553"/>
    <n v="851"/>
    <n v="851"/>
    <n v="851"/>
    <n v="2553"/>
    <n v="2553"/>
    <n v="4255"/>
    <n v="4834"/>
    <n v="4255"/>
    <n v="22977"/>
    <x v="0"/>
    <x v="0"/>
    <n v="0.91208478231072221"/>
    <n v="3.8428693424423573E-2"/>
    <n v="0"/>
    <n v="0"/>
  </r>
  <r>
    <n v="75"/>
    <x v="4"/>
    <s v="Delhi"/>
    <s v="New Delhi"/>
    <n v="9176"/>
    <x v="0"/>
    <n v="1430"/>
    <n v="1430"/>
    <n v="1430"/>
    <n v="4290"/>
    <n v="1430"/>
    <n v="1430"/>
    <n v="1430"/>
    <n v="4290"/>
    <n v="1430"/>
    <n v="1430"/>
    <n v="1430"/>
    <n v="4290"/>
    <n v="1430"/>
    <n v="1430"/>
    <n v="1430"/>
    <n v="4290"/>
    <n v="1424"/>
    <n v="1430"/>
    <n v="1430"/>
    <n v="4284"/>
    <n v="4290"/>
    <n v="7144"/>
    <n v="6628"/>
    <n v="7150"/>
    <n v="38604"/>
    <x v="0"/>
    <x v="0"/>
    <n v="0.94743211688012896"/>
    <e v="#N/A"/>
    <n v="0"/>
    <n v="0"/>
  </r>
  <r>
    <n v="76"/>
    <x v="4"/>
    <s v="Delhi"/>
    <s v="New Delhi"/>
    <n v="8375"/>
    <x v="2"/>
    <n v="908"/>
    <n v="908"/>
    <n v="908"/>
    <n v="2724"/>
    <n v="908"/>
    <n v="908"/>
    <n v="908"/>
    <n v="2724"/>
    <n v="908"/>
    <n v="908"/>
    <n v="908"/>
    <n v="2724"/>
    <n v="908"/>
    <n v="908"/>
    <n v="908"/>
    <n v="2724"/>
    <n v="908"/>
    <n v="908"/>
    <n v="908"/>
    <n v="2724"/>
    <n v="2724"/>
    <n v="4540"/>
    <n v="3875"/>
    <n v="4540"/>
    <n v="24516"/>
    <x v="0"/>
    <x v="0"/>
    <n v="0.58227868310541253"/>
    <e v="#N/A"/>
    <n v="0"/>
    <n v="0"/>
  </r>
  <r>
    <n v="77"/>
    <x v="4"/>
    <s v="Delhi"/>
    <s v="New Delhi"/>
    <n v="8000"/>
    <x v="2"/>
    <n v="243"/>
    <n v="243"/>
    <n v="243"/>
    <n v="729"/>
    <n v="243"/>
    <n v="243"/>
    <n v="243"/>
    <n v="729"/>
    <n v="243"/>
    <n v="243"/>
    <n v="243"/>
    <n v="729"/>
    <n v="243"/>
    <n v="243"/>
    <n v="243"/>
    <n v="729"/>
    <n v="243"/>
    <n v="243"/>
    <n v="243"/>
    <n v="729"/>
    <n v="729"/>
    <n v="1215"/>
    <n v="1110"/>
    <n v="1215"/>
    <n v="6561"/>
    <x v="0"/>
    <x v="0"/>
    <n v="0.4316615221363006"/>
    <e v="#N/A"/>
    <n v="2"/>
    <n v="0"/>
  </r>
  <r>
    <n v="78"/>
    <x v="3"/>
    <s v="Goa"/>
    <s v="Panaji"/>
    <n v="8109"/>
    <x v="2"/>
    <n v="138"/>
    <n v="138"/>
    <n v="138"/>
    <n v="414"/>
    <n v="138"/>
    <n v="138"/>
    <n v="138"/>
    <n v="414"/>
    <n v="138"/>
    <n v="138"/>
    <n v="138"/>
    <n v="414"/>
    <n v="138"/>
    <n v="138"/>
    <n v="138"/>
    <n v="414"/>
    <n v="138"/>
    <n v="138"/>
    <n v="138"/>
    <n v="414"/>
    <n v="414"/>
    <n v="690"/>
    <n v="1381"/>
    <n v="690"/>
    <n v="3726"/>
    <x v="0"/>
    <x v="1"/>
    <n v="0.17915203844020278"/>
    <e v="#N/A"/>
    <n v="0"/>
    <n v="0"/>
  </r>
  <r>
    <n v="79"/>
    <x v="3"/>
    <s v="Gujarat"/>
    <s v="Ahmedabad"/>
    <n v="8202"/>
    <x v="1"/>
    <n v="829"/>
    <n v="829"/>
    <n v="829"/>
    <n v="2487"/>
    <n v="829"/>
    <n v="829"/>
    <n v="829"/>
    <n v="2487"/>
    <n v="829"/>
    <n v="829"/>
    <n v="829"/>
    <n v="2487"/>
    <n v="829"/>
    <n v="829"/>
    <n v="829"/>
    <n v="2487"/>
    <n v="829"/>
    <n v="829"/>
    <n v="829"/>
    <n v="2487"/>
    <n v="2487"/>
    <n v="4145"/>
    <n v="3539"/>
    <n v="4145"/>
    <n v="22383"/>
    <x v="0"/>
    <x v="0"/>
    <n v="0.34248353523204533"/>
    <e v="#N/A"/>
    <n v="0"/>
    <n v="0"/>
  </r>
  <r>
    <n v="80"/>
    <x v="3"/>
    <s v="Gujarat"/>
    <s v="Ahmedabad"/>
    <n v="7991"/>
    <x v="1"/>
    <n v="223"/>
    <n v="223"/>
    <n v="223"/>
    <n v="669"/>
    <n v="223"/>
    <n v="223"/>
    <n v="223"/>
    <n v="669"/>
    <n v="223"/>
    <n v="223"/>
    <n v="223"/>
    <n v="669"/>
    <n v="223"/>
    <n v="223"/>
    <n v="223"/>
    <n v="669"/>
    <n v="223"/>
    <n v="223"/>
    <n v="223"/>
    <n v="669"/>
    <n v="669"/>
    <n v="1115"/>
    <n v="1335"/>
    <n v="1115"/>
    <n v="6021"/>
    <x v="0"/>
    <x v="0"/>
    <n v="0.51266669498714779"/>
    <e v="#N/A"/>
    <n v="0"/>
    <n v="0"/>
  </r>
  <r>
    <n v="81"/>
    <x v="3"/>
    <s v="Gujarat"/>
    <s v="Ahmedabad"/>
    <n v="33420"/>
    <x v="1"/>
    <n v="443"/>
    <n v="443"/>
    <n v="443"/>
    <n v="1329"/>
    <n v="443"/>
    <n v="443"/>
    <n v="443"/>
    <n v="1329"/>
    <n v="443"/>
    <n v="443"/>
    <n v="443"/>
    <n v="1329"/>
    <n v="443"/>
    <n v="443"/>
    <n v="443"/>
    <n v="1329"/>
    <n v="443"/>
    <n v="443"/>
    <n v="443"/>
    <n v="1329"/>
    <n v="1329"/>
    <n v="2215"/>
    <n v="1995"/>
    <n v="2215"/>
    <n v="11961"/>
    <x v="0"/>
    <x v="0"/>
    <n v="0.83412986754127516"/>
    <n v="1.7766040453754278E-2"/>
    <n v="0"/>
    <n v="0"/>
  </r>
  <r>
    <n v="82"/>
    <x v="3"/>
    <s v="Gujarat"/>
    <s v="Ahmedabad"/>
    <n v="9041"/>
    <x v="1"/>
    <n v="223"/>
    <n v="223"/>
    <n v="223"/>
    <n v="669"/>
    <n v="223"/>
    <n v="223"/>
    <n v="223"/>
    <n v="669"/>
    <n v="223"/>
    <n v="223"/>
    <n v="223"/>
    <n v="669"/>
    <n v="223"/>
    <n v="223"/>
    <n v="223"/>
    <n v="669"/>
    <n v="223"/>
    <n v="223"/>
    <n v="223"/>
    <n v="669"/>
    <n v="669"/>
    <n v="1115"/>
    <n v="1074"/>
    <n v="1115"/>
    <n v="6021"/>
    <x v="0"/>
    <x v="0"/>
    <n v="0.44598410074626482"/>
    <e v="#N/A"/>
    <n v="0"/>
    <n v="0"/>
  </r>
  <r>
    <n v="83"/>
    <x v="3"/>
    <s v="Gujarat"/>
    <s v="Ahmedabad"/>
    <n v="8115"/>
    <x v="0"/>
    <n v="184"/>
    <n v="182"/>
    <n v="182"/>
    <n v="548"/>
    <n v="182"/>
    <n v="182"/>
    <n v="182"/>
    <n v="546"/>
    <n v="182"/>
    <n v="182"/>
    <n v="182"/>
    <n v="546"/>
    <n v="182"/>
    <n v="182"/>
    <n v="182"/>
    <n v="546"/>
    <n v="182"/>
    <n v="182"/>
    <n v="182"/>
    <n v="546"/>
    <n v="548"/>
    <n v="910"/>
    <n v="862"/>
    <n v="910"/>
    <n v="4918"/>
    <x v="1"/>
    <x v="1"/>
    <n v="0.49474572384065718"/>
    <e v="#N/A"/>
    <n v="0"/>
    <n v="0"/>
  </r>
  <r>
    <n v="84"/>
    <x v="3"/>
    <s v="Gujarat"/>
    <s v="Jamnagar"/>
    <n v="8118"/>
    <x v="0"/>
    <n v="134"/>
    <n v="134"/>
    <n v="134"/>
    <n v="402"/>
    <n v="134"/>
    <n v="134"/>
    <n v="134"/>
    <n v="402"/>
    <n v="134"/>
    <n v="134"/>
    <n v="134"/>
    <n v="402"/>
    <n v="133"/>
    <n v="133"/>
    <n v="133"/>
    <n v="399"/>
    <n v="133"/>
    <n v="133"/>
    <n v="133"/>
    <n v="399"/>
    <n v="402"/>
    <n v="668"/>
    <n v="758"/>
    <n v="668"/>
    <n v="3609"/>
    <x v="0"/>
    <x v="0"/>
    <n v="0.98023706971634206"/>
    <n v="1.669776119402985E-2"/>
    <n v="0"/>
    <n v="0"/>
  </r>
  <r>
    <n v="85"/>
    <x v="3"/>
    <s v="Gujarat"/>
    <s v="Mehsana"/>
    <n v="15134"/>
    <x v="1"/>
    <n v="224"/>
    <n v="224"/>
    <n v="224"/>
    <n v="672"/>
    <n v="224"/>
    <n v="224"/>
    <n v="224"/>
    <n v="672"/>
    <n v="224"/>
    <n v="224"/>
    <n v="224"/>
    <n v="672"/>
    <n v="224"/>
    <n v="224"/>
    <n v="224"/>
    <n v="672"/>
    <n v="223"/>
    <n v="224"/>
    <n v="224"/>
    <n v="671"/>
    <n v="672"/>
    <n v="1119"/>
    <n v="1089"/>
    <n v="1120"/>
    <n v="6047"/>
    <x v="0"/>
    <x v="1"/>
    <n v="1.9299205132585207E-2"/>
    <n v="5.4802631578947367E-2"/>
    <n v="0"/>
    <n v="0"/>
  </r>
  <r>
    <n v="86"/>
    <x v="3"/>
    <s v="Gujarat"/>
    <s v="Rajkot"/>
    <n v="7932"/>
    <x v="1"/>
    <n v="193"/>
    <n v="193"/>
    <n v="193"/>
    <n v="579"/>
    <n v="193"/>
    <n v="193"/>
    <n v="193"/>
    <n v="579"/>
    <n v="193"/>
    <n v="193"/>
    <n v="193"/>
    <n v="579"/>
    <n v="193"/>
    <n v="193"/>
    <n v="193"/>
    <n v="579"/>
    <n v="193"/>
    <n v="193"/>
    <n v="193"/>
    <n v="579"/>
    <n v="579"/>
    <n v="965"/>
    <n v="965"/>
    <n v="965"/>
    <n v="5211"/>
    <x v="0"/>
    <x v="1"/>
    <n v="0.55625845022902765"/>
    <n v="0"/>
    <n v="0"/>
    <n v="0"/>
  </r>
  <r>
    <n v="87"/>
    <x v="3"/>
    <s v="Gujarat"/>
    <s v="Rajkot"/>
    <n v="15135"/>
    <x v="1"/>
    <n v="193"/>
    <n v="193"/>
    <n v="193"/>
    <n v="579"/>
    <n v="192"/>
    <n v="192"/>
    <n v="192"/>
    <n v="576"/>
    <n v="192"/>
    <n v="192"/>
    <n v="192"/>
    <n v="576"/>
    <n v="192"/>
    <n v="192"/>
    <n v="192"/>
    <n v="576"/>
    <n v="192"/>
    <n v="192"/>
    <n v="192"/>
    <n v="576"/>
    <n v="579"/>
    <n v="961"/>
    <n v="961"/>
    <n v="961"/>
    <n v="5190"/>
    <x v="0"/>
    <x v="1"/>
    <n v="5.2299748927773226E-3"/>
    <n v="0"/>
    <n v="0"/>
    <n v="0"/>
  </r>
  <r>
    <n v="88"/>
    <x v="3"/>
    <s v="Gujarat"/>
    <s v="Rajkot"/>
    <n v="1262"/>
    <x v="1"/>
    <n v="193"/>
    <n v="193"/>
    <n v="193"/>
    <n v="579"/>
    <n v="193"/>
    <n v="193"/>
    <n v="193"/>
    <n v="579"/>
    <n v="193"/>
    <n v="193"/>
    <n v="193"/>
    <n v="579"/>
    <n v="193"/>
    <n v="193"/>
    <n v="193"/>
    <n v="579"/>
    <n v="190"/>
    <n v="193"/>
    <n v="193"/>
    <n v="576"/>
    <n v="579"/>
    <n v="962"/>
    <n v="1397"/>
    <n v="965"/>
    <n v="5208"/>
    <x v="0"/>
    <x v="1"/>
    <n v="0.45669527070579119"/>
    <n v="3.6179835062516624E-2"/>
    <n v="0"/>
    <n v="0"/>
  </r>
  <r>
    <n v="89"/>
    <x v="3"/>
    <s v="Gujarat"/>
    <s v="Surat"/>
    <n v="1897"/>
    <x v="1"/>
    <n v="627"/>
    <n v="625"/>
    <n v="625"/>
    <n v="1877"/>
    <n v="625"/>
    <n v="625"/>
    <n v="625"/>
    <n v="1875"/>
    <n v="625"/>
    <n v="625"/>
    <n v="625"/>
    <n v="1875"/>
    <n v="625"/>
    <n v="625"/>
    <n v="625"/>
    <n v="1875"/>
    <n v="625"/>
    <n v="625"/>
    <n v="624"/>
    <n v="1874"/>
    <n v="1877"/>
    <n v="3125"/>
    <n v="2692"/>
    <n v="3124"/>
    <n v="16878"/>
    <x v="0"/>
    <x v="0"/>
    <n v="2.7871260284144772E-2"/>
    <n v="2.0004896303291015E-2"/>
    <n v="0"/>
    <n v="0"/>
  </r>
  <r>
    <n v="90"/>
    <x v="3"/>
    <s v="Gujarat"/>
    <s v="Vadodara"/>
    <n v="16678"/>
    <x v="1"/>
    <n v="192"/>
    <n v="192"/>
    <n v="192"/>
    <n v="576"/>
    <n v="192"/>
    <n v="192"/>
    <n v="192"/>
    <n v="576"/>
    <n v="192"/>
    <n v="192"/>
    <n v="192"/>
    <n v="576"/>
    <n v="192"/>
    <n v="192"/>
    <n v="192"/>
    <n v="576"/>
    <n v="192"/>
    <n v="192"/>
    <n v="192"/>
    <n v="576"/>
    <n v="576"/>
    <n v="960"/>
    <n v="1219"/>
    <n v="960"/>
    <n v="5184"/>
    <x v="0"/>
    <x v="0"/>
    <n v="0.60898967182498753"/>
    <e v="#N/A"/>
    <n v="0"/>
    <n v="0"/>
  </r>
  <r>
    <n v="91"/>
    <x v="4"/>
    <s v="Haryana"/>
    <s v="Faridabad"/>
    <n v="8777"/>
    <x v="1"/>
    <n v="451"/>
    <n v="451"/>
    <n v="451"/>
    <n v="1353"/>
    <n v="451"/>
    <n v="451"/>
    <n v="451"/>
    <n v="1353"/>
    <n v="451"/>
    <n v="451"/>
    <n v="451"/>
    <n v="1353"/>
    <n v="451"/>
    <n v="451"/>
    <n v="451"/>
    <n v="1353"/>
    <n v="451"/>
    <n v="451"/>
    <n v="451"/>
    <n v="1353"/>
    <n v="1353"/>
    <n v="2255"/>
    <n v="2254"/>
    <n v="2255"/>
    <n v="12177"/>
    <x v="1"/>
    <x v="0"/>
    <n v="0.4864127516514416"/>
    <e v="#N/A"/>
    <n v="0"/>
    <n v="0"/>
  </r>
  <r>
    <n v="92"/>
    <x v="4"/>
    <s v="Haryana"/>
    <s v="Ambala"/>
    <n v="7933"/>
    <x v="1"/>
    <n v="450"/>
    <n v="450"/>
    <n v="450"/>
    <n v="1350"/>
    <n v="450"/>
    <n v="450"/>
    <n v="450"/>
    <n v="1350"/>
    <n v="450"/>
    <n v="450"/>
    <n v="450"/>
    <n v="1350"/>
    <n v="450"/>
    <n v="450"/>
    <n v="450"/>
    <n v="1350"/>
    <n v="450"/>
    <n v="450"/>
    <n v="315"/>
    <n v="1215"/>
    <n v="1350"/>
    <n v="2250"/>
    <n v="2241"/>
    <n v="2115"/>
    <n v="12015"/>
    <x v="0"/>
    <x v="0"/>
    <n v="0.28055614248431482"/>
    <n v="0"/>
    <n v="0"/>
    <n v="0"/>
  </r>
  <r>
    <n v="93"/>
    <x v="4"/>
    <s v="Haryana"/>
    <s v="Hisar"/>
    <n v="7931"/>
    <x v="0"/>
    <n v="441"/>
    <n v="441"/>
    <n v="441"/>
    <n v="1323"/>
    <n v="441"/>
    <n v="441"/>
    <n v="441"/>
    <n v="1323"/>
    <n v="441"/>
    <n v="441"/>
    <n v="441"/>
    <n v="1323"/>
    <n v="441"/>
    <n v="441"/>
    <n v="441"/>
    <n v="1323"/>
    <n v="441"/>
    <n v="441"/>
    <n v="441"/>
    <n v="1323"/>
    <n v="1323"/>
    <n v="2205"/>
    <n v="2067"/>
    <n v="2205"/>
    <n v="11907"/>
    <x v="0"/>
    <x v="0"/>
    <n v="2.3347660699708506E-3"/>
    <e v="#N/A"/>
    <n v="0"/>
    <n v="0"/>
  </r>
  <r>
    <n v="94"/>
    <x v="4"/>
    <s v="Haryana"/>
    <s v="Hisar"/>
    <n v="8116"/>
    <x v="0"/>
    <n v="303"/>
    <n v="303"/>
    <n v="303"/>
    <n v="909"/>
    <n v="303"/>
    <n v="303"/>
    <n v="303"/>
    <n v="909"/>
    <n v="303"/>
    <n v="303"/>
    <n v="303"/>
    <n v="909"/>
    <n v="303"/>
    <n v="303"/>
    <n v="303"/>
    <n v="909"/>
    <n v="303"/>
    <n v="303"/>
    <n v="303"/>
    <n v="909"/>
    <n v="909"/>
    <n v="1515"/>
    <n v="1437"/>
    <n v="1515"/>
    <n v="8181"/>
    <x v="0"/>
    <x v="0"/>
    <n v="0.84479402010205884"/>
    <e v="#N/A"/>
    <n v="0"/>
    <n v="0"/>
  </r>
  <r>
    <n v="95"/>
    <x v="4"/>
    <s v="Himachal Pradesh"/>
    <s v="Hamirpur"/>
    <n v="609"/>
    <x v="1"/>
    <n v="225"/>
    <n v="225"/>
    <n v="225"/>
    <n v="675"/>
    <n v="225"/>
    <n v="225"/>
    <n v="225"/>
    <n v="675"/>
    <n v="225"/>
    <n v="225"/>
    <n v="225"/>
    <n v="675"/>
    <n v="225"/>
    <n v="225"/>
    <n v="225"/>
    <n v="675"/>
    <n v="225"/>
    <n v="200"/>
    <n v="205"/>
    <n v="630"/>
    <n v="675"/>
    <n v="1125"/>
    <n v="946"/>
    <n v="1105"/>
    <n v="6030"/>
    <x v="1"/>
    <x v="0"/>
    <n v="0.98450573828317622"/>
    <n v="0"/>
    <n v="0"/>
    <n v="0"/>
  </r>
  <r>
    <n v="96"/>
    <x v="4"/>
    <s v="Himachal Pradesh"/>
    <s v="Kangra"/>
    <n v="13299"/>
    <x v="0"/>
    <n v="71"/>
    <n v="71"/>
    <n v="71"/>
    <n v="213"/>
    <n v="71"/>
    <n v="71"/>
    <n v="71"/>
    <n v="213"/>
    <n v="71"/>
    <n v="71"/>
    <n v="71"/>
    <n v="213"/>
    <n v="71"/>
    <n v="71"/>
    <n v="71"/>
    <n v="213"/>
    <n v="71"/>
    <n v="71"/>
    <n v="71"/>
    <n v="213"/>
    <n v="213"/>
    <n v="355"/>
    <n v="320"/>
    <n v="355"/>
    <n v="1917"/>
    <x v="0"/>
    <x v="0"/>
    <n v="0.98161575904547171"/>
    <n v="0"/>
    <n v="0"/>
    <n v="0"/>
  </r>
  <r>
    <n v="97"/>
    <x v="4"/>
    <s v="Himachal Pradesh"/>
    <s v="Kangra"/>
    <n v="8800"/>
    <x v="0"/>
    <n v="36"/>
    <n v="36"/>
    <n v="36"/>
    <n v="108"/>
    <n v="36"/>
    <n v="36"/>
    <n v="36"/>
    <n v="108"/>
    <n v="36"/>
    <n v="36"/>
    <n v="36"/>
    <n v="108"/>
    <n v="36"/>
    <n v="36"/>
    <n v="36"/>
    <n v="108"/>
    <n v="36"/>
    <n v="36"/>
    <n v="36"/>
    <n v="108"/>
    <n v="108"/>
    <n v="180"/>
    <n v="185"/>
    <n v="180"/>
    <n v="972"/>
    <x v="0"/>
    <x v="0"/>
    <n v="0.5614884606399706"/>
    <n v="1.5067605384864641E-2"/>
    <n v="0"/>
    <n v="0"/>
  </r>
  <r>
    <n v="98"/>
    <x v="4"/>
    <s v="Himachal Pradesh"/>
    <s v="Kangra"/>
    <n v="643"/>
    <x v="0"/>
    <n v="41"/>
    <n v="41"/>
    <n v="41"/>
    <n v="123"/>
    <n v="41"/>
    <n v="41"/>
    <n v="41"/>
    <n v="123"/>
    <n v="41"/>
    <n v="41"/>
    <n v="41"/>
    <n v="123"/>
    <n v="41"/>
    <n v="41"/>
    <n v="41"/>
    <n v="123"/>
    <n v="41"/>
    <n v="41"/>
    <n v="41"/>
    <n v="123"/>
    <n v="123"/>
    <n v="205"/>
    <n v="205"/>
    <n v="205"/>
    <n v="1107"/>
    <x v="1"/>
    <x v="0"/>
    <n v="0.31695129095734131"/>
    <n v="2.3218741336290545E-2"/>
    <n v="0"/>
    <n v="0"/>
  </r>
  <r>
    <n v="99"/>
    <x v="4"/>
    <s v="Himachal Pradesh"/>
    <s v="Kullu"/>
    <n v="8040"/>
    <x v="0"/>
    <n v="41"/>
    <n v="41"/>
    <n v="41"/>
    <n v="123"/>
    <n v="41"/>
    <n v="41"/>
    <n v="41"/>
    <n v="123"/>
    <n v="41"/>
    <n v="41"/>
    <n v="41"/>
    <n v="123"/>
    <n v="41"/>
    <n v="41"/>
    <n v="41"/>
    <n v="123"/>
    <n v="41"/>
    <n v="41"/>
    <n v="41"/>
    <n v="123"/>
    <n v="123"/>
    <n v="205"/>
    <n v="271"/>
    <n v="205"/>
    <n v="1107"/>
    <x v="0"/>
    <x v="1"/>
    <n v="0.64042866833509349"/>
    <n v="0"/>
    <n v="0"/>
    <n v="0"/>
  </r>
  <r>
    <n v="100"/>
    <x v="4"/>
    <s v="Himachal Pradesh"/>
    <s v="Mandi"/>
    <n v="8041"/>
    <x v="0"/>
    <n v="107"/>
    <n v="107"/>
    <n v="107"/>
    <n v="321"/>
    <n v="107"/>
    <n v="107"/>
    <n v="107"/>
    <n v="321"/>
    <n v="107"/>
    <n v="107"/>
    <n v="107"/>
    <n v="321"/>
    <n v="107"/>
    <n v="107"/>
    <n v="107"/>
    <n v="321"/>
    <n v="107"/>
    <n v="107"/>
    <n v="107"/>
    <n v="321"/>
    <n v="321"/>
    <n v="535"/>
    <n v="509"/>
    <n v="535"/>
    <n v="2889"/>
    <x v="0"/>
    <x v="1"/>
    <n v="0.20858618876249657"/>
    <n v="3.3251949566358137E-2"/>
    <n v="0"/>
    <n v="0"/>
  </r>
  <r>
    <n v="101"/>
    <x v="4"/>
    <s v="Himachal Pradesh"/>
    <s v="Mandi"/>
    <n v="34029"/>
    <x v="0"/>
    <n v="81"/>
    <n v="81"/>
    <n v="81"/>
    <n v="243"/>
    <n v="81"/>
    <n v="81"/>
    <n v="81"/>
    <n v="243"/>
    <n v="81"/>
    <n v="81"/>
    <n v="81"/>
    <n v="243"/>
    <n v="81"/>
    <n v="81"/>
    <n v="81"/>
    <n v="243"/>
    <n v="81"/>
    <n v="81"/>
    <n v="81"/>
    <n v="243"/>
    <n v="243"/>
    <n v="405"/>
    <n v="354"/>
    <n v="405"/>
    <n v="2187"/>
    <x v="0"/>
    <x v="1"/>
    <n v="0.2596124009984857"/>
    <n v="1.5669696777064396E-2"/>
    <n v="0"/>
    <n v="0"/>
  </r>
  <r>
    <n v="102"/>
    <x v="4"/>
    <s v="Himachal Pradesh"/>
    <s v="Palampur"/>
    <n v="30676"/>
    <x v="0"/>
    <n v="30"/>
    <n v="30"/>
    <n v="30"/>
    <n v="90"/>
    <n v="30"/>
    <n v="30"/>
    <n v="30"/>
    <n v="90"/>
    <n v="30"/>
    <n v="30"/>
    <n v="30"/>
    <n v="90"/>
    <n v="30"/>
    <n v="30"/>
    <n v="30"/>
    <n v="90"/>
    <n v="30"/>
    <n v="30"/>
    <n v="30"/>
    <n v="90"/>
    <n v="90"/>
    <n v="150"/>
    <n v="439"/>
    <n v="150"/>
    <n v="810"/>
    <x v="1"/>
    <x v="1"/>
    <n v="0.9255724386381341"/>
    <n v="1.6996444037601661E-2"/>
    <n v="0"/>
    <n v="0"/>
  </r>
  <r>
    <n v="103"/>
    <x v="4"/>
    <s v="Himachal Pradesh"/>
    <s v="Shimla"/>
    <n v="9245"/>
    <x v="0"/>
    <n v="319"/>
    <n v="319"/>
    <n v="319"/>
    <n v="957"/>
    <n v="319"/>
    <n v="319"/>
    <n v="319"/>
    <n v="957"/>
    <n v="319"/>
    <n v="319"/>
    <n v="319"/>
    <n v="957"/>
    <n v="319"/>
    <n v="319"/>
    <n v="319"/>
    <n v="957"/>
    <n v="319"/>
    <n v="319"/>
    <n v="319"/>
    <n v="957"/>
    <n v="957"/>
    <n v="1595"/>
    <n v="1748"/>
    <n v="1595"/>
    <n v="8613"/>
    <x v="0"/>
    <x v="0"/>
    <n v="0.1295618299782676"/>
    <n v="2.5130231722651337E-2"/>
    <n v="0"/>
    <n v="1"/>
  </r>
  <r>
    <n v="104"/>
    <x v="4"/>
    <s v="Jammu and Kashmir"/>
    <s v="Jammu"/>
    <n v="8992"/>
    <x v="1"/>
    <n v="472"/>
    <n v="472"/>
    <n v="472"/>
    <n v="1416"/>
    <n v="472"/>
    <n v="472"/>
    <n v="472"/>
    <n v="1416"/>
    <n v="472"/>
    <n v="472"/>
    <n v="472"/>
    <n v="1416"/>
    <n v="472"/>
    <n v="472"/>
    <n v="472"/>
    <n v="1416"/>
    <n v="472"/>
    <n v="472"/>
    <n v="471"/>
    <n v="1415"/>
    <n v="1416"/>
    <n v="2360"/>
    <n v="2118"/>
    <n v="2359"/>
    <n v="12743"/>
    <x v="0"/>
    <x v="0"/>
    <n v="0.83739610918103935"/>
    <n v="0"/>
    <n v="1"/>
    <n v="0"/>
  </r>
  <r>
    <n v="105"/>
    <x v="4"/>
    <s v="Jammu and Kashmir"/>
    <s v="Samba"/>
    <n v="8548"/>
    <x v="1"/>
    <n v="230"/>
    <n v="230"/>
    <n v="230"/>
    <n v="690"/>
    <n v="230"/>
    <n v="230"/>
    <n v="230"/>
    <n v="690"/>
    <n v="230"/>
    <n v="230"/>
    <n v="230"/>
    <n v="690"/>
    <n v="230"/>
    <n v="230"/>
    <n v="230"/>
    <n v="690"/>
    <n v="230"/>
    <n v="230"/>
    <n v="230"/>
    <n v="690"/>
    <n v="690"/>
    <n v="1150"/>
    <n v="955"/>
    <n v="1150"/>
    <n v="6210"/>
    <x v="1"/>
    <x v="1"/>
    <n v="0.32361041469320584"/>
    <n v="0"/>
    <n v="0"/>
    <n v="0"/>
  </r>
  <r>
    <n v="106"/>
    <x v="4"/>
    <s v="Jammu and Kashmir"/>
    <s v="Srinagar"/>
    <n v="7939"/>
    <x v="0"/>
    <n v="35"/>
    <n v="35"/>
    <n v="35"/>
    <n v="105"/>
    <n v="35"/>
    <n v="35"/>
    <n v="35"/>
    <n v="105"/>
    <n v="35"/>
    <n v="35"/>
    <n v="35"/>
    <n v="105"/>
    <n v="35"/>
    <n v="35"/>
    <n v="35"/>
    <n v="105"/>
    <n v="35"/>
    <n v="35"/>
    <n v="37"/>
    <n v="107"/>
    <n v="105"/>
    <n v="175"/>
    <n v="363"/>
    <n v="177"/>
    <n v="947"/>
    <x v="0"/>
    <x v="1"/>
    <n v="0.37806037835773909"/>
    <e v="#N/A"/>
    <n v="0"/>
    <n v="0"/>
  </r>
  <r>
    <n v="107"/>
    <x v="2"/>
    <s v="Jharkhand"/>
    <s v="Bokaro Steel City"/>
    <n v="8044"/>
    <x v="0"/>
    <n v="223"/>
    <n v="223"/>
    <n v="223"/>
    <n v="669"/>
    <n v="223"/>
    <n v="223"/>
    <n v="223"/>
    <n v="669"/>
    <n v="223"/>
    <n v="223"/>
    <n v="223"/>
    <n v="669"/>
    <n v="223"/>
    <n v="223"/>
    <n v="223"/>
    <n v="669"/>
    <n v="223"/>
    <n v="223"/>
    <n v="223"/>
    <n v="669"/>
    <n v="669"/>
    <n v="1115"/>
    <n v="1034"/>
    <n v="1115"/>
    <n v="6021"/>
    <x v="1"/>
    <x v="1"/>
    <n v="0.37269860926077769"/>
    <n v="0"/>
    <n v="0"/>
    <n v="1"/>
  </r>
  <r>
    <n v="108"/>
    <x v="2"/>
    <s v="Jharkhand"/>
    <s v="Bokaro Steel City"/>
    <n v="8043"/>
    <x v="0"/>
    <n v="142"/>
    <n v="142"/>
    <n v="142"/>
    <n v="426"/>
    <n v="142"/>
    <n v="142"/>
    <n v="142"/>
    <n v="426"/>
    <n v="142"/>
    <n v="142"/>
    <n v="142"/>
    <n v="426"/>
    <n v="142"/>
    <n v="142"/>
    <n v="142"/>
    <n v="426"/>
    <n v="142"/>
    <n v="142"/>
    <n v="142"/>
    <n v="426"/>
    <n v="426"/>
    <n v="710"/>
    <n v="781"/>
    <n v="710"/>
    <n v="3834"/>
    <x v="1"/>
    <x v="1"/>
    <n v="0.11406411025762231"/>
    <n v="0"/>
    <n v="0"/>
    <n v="0"/>
  </r>
  <r>
    <n v="109"/>
    <x v="2"/>
    <s v="Jharkhand"/>
    <s v="Daltonganj"/>
    <n v="9695"/>
    <x v="0"/>
    <n v="213"/>
    <n v="213"/>
    <n v="213"/>
    <n v="639"/>
    <n v="213"/>
    <n v="213"/>
    <n v="213"/>
    <n v="639"/>
    <n v="213"/>
    <n v="213"/>
    <n v="213"/>
    <n v="639"/>
    <n v="213"/>
    <n v="213"/>
    <n v="213"/>
    <n v="639"/>
    <n v="213"/>
    <n v="213"/>
    <n v="213"/>
    <n v="639"/>
    <n v="639"/>
    <n v="1065"/>
    <n v="1539"/>
    <n v="1065"/>
    <n v="5751"/>
    <x v="1"/>
    <x v="0"/>
    <n v="0.59498352684147171"/>
    <n v="0"/>
    <n v="0"/>
    <n v="0"/>
  </r>
  <r>
    <n v="110"/>
    <x v="2"/>
    <s v="Jharkhand"/>
    <s v="Dhanbad"/>
    <n v="15024"/>
    <x v="1"/>
    <n v="687"/>
    <n v="687"/>
    <n v="687"/>
    <n v="2061"/>
    <n v="687"/>
    <n v="687"/>
    <n v="687"/>
    <n v="2061"/>
    <n v="687"/>
    <n v="687"/>
    <n v="687"/>
    <n v="2061"/>
    <n v="687"/>
    <n v="687"/>
    <n v="687"/>
    <n v="2061"/>
    <n v="687"/>
    <n v="687"/>
    <n v="687"/>
    <n v="2061"/>
    <n v="2061"/>
    <n v="3435"/>
    <n v="2981"/>
    <n v="3435"/>
    <n v="18549"/>
    <x v="0"/>
    <x v="0"/>
    <n v="0.85148665214897723"/>
    <n v="0"/>
    <n v="0"/>
    <n v="0"/>
  </r>
  <r>
    <n v="111"/>
    <x v="2"/>
    <s v="Jharkhand"/>
    <s v="Dhanbad"/>
    <n v="7946"/>
    <x v="0"/>
    <n v="233"/>
    <n v="233"/>
    <n v="233"/>
    <n v="699"/>
    <n v="233"/>
    <n v="233"/>
    <n v="233"/>
    <n v="699"/>
    <n v="233"/>
    <n v="233"/>
    <n v="233"/>
    <n v="699"/>
    <n v="233"/>
    <n v="233"/>
    <n v="233"/>
    <n v="699"/>
    <n v="233"/>
    <n v="233"/>
    <n v="233"/>
    <n v="699"/>
    <n v="699"/>
    <n v="1165"/>
    <n v="1155"/>
    <n v="1165"/>
    <n v="6291"/>
    <x v="1"/>
    <x v="1"/>
    <n v="0.20184648915780223"/>
    <n v="2.0467583739436187E-2"/>
    <n v="0"/>
    <n v="0"/>
  </r>
  <r>
    <n v="112"/>
    <x v="2"/>
    <s v="Jharkhand"/>
    <s v="Hazaribagh"/>
    <n v="7948"/>
    <x v="1"/>
    <n v="223"/>
    <n v="223"/>
    <n v="223"/>
    <n v="669"/>
    <n v="223"/>
    <n v="223"/>
    <n v="223"/>
    <n v="669"/>
    <n v="223"/>
    <n v="223"/>
    <n v="223"/>
    <n v="669"/>
    <n v="223"/>
    <n v="223"/>
    <n v="223"/>
    <n v="669"/>
    <n v="223"/>
    <n v="223"/>
    <n v="223"/>
    <n v="669"/>
    <n v="669"/>
    <n v="1115"/>
    <n v="1579"/>
    <n v="1115"/>
    <n v="6021"/>
    <x v="0"/>
    <x v="0"/>
    <n v="7.8594498670754298E-3"/>
    <n v="0"/>
    <n v="0"/>
    <n v="0"/>
  </r>
  <r>
    <n v="113"/>
    <x v="2"/>
    <s v="Jharkhand"/>
    <s v="Jamshedpur"/>
    <n v="7943"/>
    <x v="1"/>
    <n v="687"/>
    <n v="687"/>
    <n v="687"/>
    <n v="2061"/>
    <n v="687"/>
    <n v="687"/>
    <n v="687"/>
    <n v="2061"/>
    <n v="687"/>
    <n v="687"/>
    <n v="687"/>
    <n v="2061"/>
    <n v="687"/>
    <n v="687"/>
    <n v="687"/>
    <n v="2061"/>
    <n v="687"/>
    <n v="687"/>
    <n v="687"/>
    <n v="2061"/>
    <n v="2061"/>
    <n v="3435"/>
    <n v="3122"/>
    <n v="3435"/>
    <n v="18549"/>
    <x v="0"/>
    <x v="0"/>
    <n v="0.98919987806988718"/>
    <n v="0"/>
    <n v="0"/>
    <n v="0"/>
  </r>
  <r>
    <n v="114"/>
    <x v="2"/>
    <s v="Jharkhand"/>
    <s v="Ranchi"/>
    <n v="7950"/>
    <x v="0"/>
    <n v="374"/>
    <n v="374"/>
    <n v="374"/>
    <n v="1122"/>
    <n v="374"/>
    <n v="374"/>
    <n v="374"/>
    <n v="1122"/>
    <n v="374"/>
    <n v="374"/>
    <n v="374"/>
    <n v="1122"/>
    <n v="374"/>
    <n v="374"/>
    <n v="374"/>
    <n v="1122"/>
    <n v="374"/>
    <n v="374"/>
    <n v="374"/>
    <n v="1122"/>
    <n v="1122"/>
    <n v="1870"/>
    <n v="1840"/>
    <n v="1870"/>
    <n v="10098"/>
    <x v="0"/>
    <x v="0"/>
    <n v="0.35733020968393014"/>
    <n v="0"/>
    <n v="0"/>
    <n v="0"/>
  </r>
  <r>
    <n v="115"/>
    <x v="2"/>
    <s v="Jharkhand"/>
    <s v="Ranchi"/>
    <n v="11395"/>
    <x v="0"/>
    <n v="344"/>
    <n v="344"/>
    <n v="344"/>
    <n v="1032"/>
    <n v="344"/>
    <n v="344"/>
    <n v="344"/>
    <n v="1032"/>
    <n v="344"/>
    <n v="344"/>
    <n v="344"/>
    <n v="1032"/>
    <n v="344"/>
    <n v="344"/>
    <n v="344"/>
    <n v="1032"/>
    <n v="344"/>
    <n v="344"/>
    <n v="344"/>
    <n v="1032"/>
    <n v="1032"/>
    <n v="1720"/>
    <n v="2508"/>
    <n v="1720"/>
    <n v="9288"/>
    <x v="1"/>
    <x v="0"/>
    <n v="3.5268317591630072E-2"/>
    <n v="0"/>
    <n v="0"/>
    <n v="0"/>
  </r>
  <r>
    <n v="116"/>
    <x v="2"/>
    <s v="Jharkhand"/>
    <s v="Ranchi"/>
    <n v="7976"/>
    <x v="1"/>
    <n v="1132"/>
    <n v="1132"/>
    <n v="1132"/>
    <n v="3396"/>
    <n v="1132"/>
    <n v="1132"/>
    <n v="1132"/>
    <n v="3396"/>
    <n v="1132"/>
    <n v="1132"/>
    <n v="1132"/>
    <n v="3396"/>
    <n v="1132"/>
    <n v="1132"/>
    <n v="1132"/>
    <n v="3396"/>
    <n v="1132"/>
    <n v="1132"/>
    <n v="1132"/>
    <n v="3396"/>
    <n v="3396"/>
    <n v="5660"/>
    <n v="4751"/>
    <n v="5660"/>
    <n v="30564"/>
    <x v="1"/>
    <x v="0"/>
    <n v="0.16303874775647564"/>
    <n v="0"/>
    <n v="0"/>
    <n v="0"/>
  </r>
  <r>
    <n v="117"/>
    <x v="2"/>
    <s v="Jharkhand"/>
    <s v="Ranchi"/>
    <n v="38758"/>
    <x v="0"/>
    <n v="223"/>
    <n v="223"/>
    <n v="223"/>
    <n v="669"/>
    <n v="223"/>
    <n v="223"/>
    <n v="223"/>
    <n v="669"/>
    <n v="223"/>
    <n v="223"/>
    <n v="223"/>
    <n v="669"/>
    <n v="223"/>
    <n v="223"/>
    <n v="223"/>
    <n v="669"/>
    <n v="223"/>
    <n v="223"/>
    <n v="223"/>
    <n v="669"/>
    <n v="669"/>
    <n v="1115"/>
    <n v="1242"/>
    <n v="1115"/>
    <n v="6021"/>
    <x v="1"/>
    <x v="0"/>
    <n v="0.60155364992567872"/>
    <n v="2.0057306590257881E-2"/>
    <n v="0"/>
    <n v="0"/>
  </r>
  <r>
    <n v="118"/>
    <x v="2"/>
    <s v="Jharkhand"/>
    <s v="Ranchi"/>
    <n v="27386"/>
    <x v="0"/>
    <n v="350"/>
    <n v="350"/>
    <n v="350"/>
    <n v="1050"/>
    <n v="350"/>
    <n v="350"/>
    <n v="350"/>
    <n v="1050"/>
    <n v="350"/>
    <n v="350"/>
    <n v="350"/>
    <n v="1050"/>
    <n v="350"/>
    <n v="350"/>
    <n v="350"/>
    <n v="1050"/>
    <n v="350"/>
    <n v="350"/>
    <n v="350"/>
    <n v="1050"/>
    <n v="1050"/>
    <n v="1750"/>
    <n v="1852"/>
    <n v="1750"/>
    <n v="9450"/>
    <x v="0"/>
    <x v="0"/>
    <n v="0.37716647335532716"/>
    <n v="9.9147121535181237E-2"/>
    <n v="0"/>
    <n v="0"/>
  </r>
  <r>
    <n v="119"/>
    <x v="1"/>
    <s v="Karnataka"/>
    <s v="Belagavi(Belgaum)"/>
    <n v="8017"/>
    <x v="1"/>
    <n v="452"/>
    <n v="452"/>
    <n v="452"/>
    <n v="1356"/>
    <n v="452"/>
    <n v="452"/>
    <n v="452"/>
    <n v="1356"/>
    <n v="452"/>
    <n v="452"/>
    <n v="452"/>
    <n v="1356"/>
    <n v="452"/>
    <n v="452"/>
    <n v="452"/>
    <n v="1356"/>
    <n v="452"/>
    <n v="452"/>
    <n v="452"/>
    <n v="1356"/>
    <n v="1356"/>
    <n v="2260"/>
    <n v="2041"/>
    <n v="2260"/>
    <n v="12204"/>
    <x v="0"/>
    <x v="0"/>
    <n v="9.4495045399823341E-2"/>
    <n v="0"/>
    <n v="0"/>
    <n v="0"/>
  </r>
  <r>
    <n v="120"/>
    <x v="1"/>
    <s v="Karnataka"/>
    <s v="Bengaluru"/>
    <n v="926"/>
    <x v="1"/>
    <n v="233"/>
    <n v="233"/>
    <n v="233"/>
    <n v="699"/>
    <n v="233"/>
    <n v="233"/>
    <n v="233"/>
    <n v="699"/>
    <n v="233"/>
    <n v="233"/>
    <n v="233"/>
    <n v="699"/>
    <n v="233"/>
    <n v="233"/>
    <n v="233"/>
    <n v="699"/>
    <n v="233"/>
    <n v="233"/>
    <n v="233"/>
    <n v="699"/>
    <n v="699"/>
    <n v="1165"/>
    <n v="1163"/>
    <n v="1165"/>
    <n v="6291"/>
    <x v="0"/>
    <x v="0"/>
    <n v="0.84397338847116876"/>
    <n v="8.0235244696492333E-2"/>
    <n v="0"/>
    <n v="0"/>
  </r>
  <r>
    <n v="121"/>
    <x v="1"/>
    <s v="Karnataka"/>
    <s v="Bengaluru"/>
    <n v="26445"/>
    <x v="0"/>
    <n v="231"/>
    <n v="231"/>
    <n v="231"/>
    <n v="693"/>
    <n v="231"/>
    <n v="231"/>
    <n v="231"/>
    <n v="693"/>
    <n v="231"/>
    <n v="231"/>
    <n v="231"/>
    <n v="693"/>
    <n v="231"/>
    <n v="231"/>
    <n v="231"/>
    <n v="693"/>
    <n v="231"/>
    <n v="231"/>
    <n v="231"/>
    <n v="693"/>
    <n v="693"/>
    <n v="1155"/>
    <n v="1028"/>
    <n v="1155"/>
    <n v="6237"/>
    <x v="1"/>
    <x v="0"/>
    <n v="0.64326131432884359"/>
    <e v="#N/A"/>
    <n v="0"/>
    <n v="0"/>
  </r>
  <r>
    <n v="122"/>
    <x v="1"/>
    <s v="Karnataka"/>
    <s v="Davanagere"/>
    <n v="26433"/>
    <x v="0"/>
    <n v="104"/>
    <n v="104"/>
    <n v="104"/>
    <n v="312"/>
    <n v="104"/>
    <n v="104"/>
    <n v="104"/>
    <n v="312"/>
    <n v="104"/>
    <n v="104"/>
    <n v="104"/>
    <n v="312"/>
    <n v="104"/>
    <n v="104"/>
    <n v="104"/>
    <n v="312"/>
    <n v="104"/>
    <n v="104"/>
    <n v="104"/>
    <n v="312"/>
    <n v="312"/>
    <n v="520"/>
    <n v="1069"/>
    <n v="520"/>
    <n v="2808"/>
    <x v="1"/>
    <x v="0"/>
    <n v="7.7626639627903615E-2"/>
    <e v="#N/A"/>
    <n v="0"/>
    <n v="0"/>
  </r>
  <r>
    <n v="123"/>
    <x v="1"/>
    <s v="Karnataka"/>
    <s v="Hubballi(Hubli)"/>
    <n v="33405"/>
    <x v="1"/>
    <n v="653"/>
    <n v="653"/>
    <n v="653"/>
    <n v="1959"/>
    <n v="653"/>
    <n v="653"/>
    <n v="653"/>
    <n v="1959"/>
    <n v="653"/>
    <n v="653"/>
    <n v="653"/>
    <n v="1959"/>
    <n v="653"/>
    <n v="653"/>
    <n v="653"/>
    <n v="1959"/>
    <n v="653"/>
    <n v="653"/>
    <n v="653"/>
    <n v="1959"/>
    <n v="1959"/>
    <n v="3265"/>
    <n v="3071"/>
    <n v="3265"/>
    <n v="17631"/>
    <x v="1"/>
    <x v="0"/>
    <n v="0.97273034813097237"/>
    <n v="0"/>
    <n v="0"/>
    <n v="0"/>
  </r>
  <r>
    <n v="124"/>
    <x v="1"/>
    <s v="Karnataka"/>
    <s v="Kalaburagi(Gulbarga)"/>
    <n v="28910"/>
    <x v="0"/>
    <n v="459"/>
    <n v="459"/>
    <n v="459"/>
    <n v="1377"/>
    <n v="459"/>
    <n v="459"/>
    <n v="459"/>
    <n v="1377"/>
    <n v="459"/>
    <n v="459"/>
    <n v="459"/>
    <n v="1377"/>
    <n v="459"/>
    <n v="459"/>
    <n v="459"/>
    <n v="1377"/>
    <n v="459"/>
    <n v="459"/>
    <n v="459"/>
    <n v="1377"/>
    <n v="1377"/>
    <n v="2295"/>
    <n v="1976"/>
    <n v="2295"/>
    <n v="12393"/>
    <x v="0"/>
    <x v="0"/>
    <n v="5.4140060773355758E-2"/>
    <e v="#N/A"/>
    <n v="0"/>
    <n v="0"/>
  </r>
  <r>
    <n v="125"/>
    <x v="1"/>
    <s v="Karnataka"/>
    <s v="Mangaluru(Mangalore)"/>
    <n v="24832"/>
    <x v="1"/>
    <n v="140"/>
    <n v="140"/>
    <n v="140"/>
    <n v="420"/>
    <n v="140"/>
    <n v="140"/>
    <n v="140"/>
    <n v="420"/>
    <n v="140"/>
    <n v="140"/>
    <n v="140"/>
    <n v="420"/>
    <n v="140"/>
    <n v="140"/>
    <n v="140"/>
    <n v="420"/>
    <n v="140"/>
    <n v="140"/>
    <n v="140"/>
    <n v="420"/>
    <n v="420"/>
    <n v="700"/>
    <n v="1163"/>
    <n v="700"/>
    <n v="3780"/>
    <x v="0"/>
    <x v="0"/>
    <n v="0.55874117740507001"/>
    <n v="2.0412741139524449E-2"/>
    <n v="0"/>
    <n v="0"/>
  </r>
  <r>
    <n v="126"/>
    <x v="1"/>
    <s v="Karnataka"/>
    <s v="Mysuru(Mysore)"/>
    <n v="857"/>
    <x v="1"/>
    <n v="604"/>
    <n v="603"/>
    <n v="603"/>
    <n v="1810"/>
    <n v="603"/>
    <n v="603"/>
    <n v="603"/>
    <n v="1809"/>
    <n v="603"/>
    <n v="603"/>
    <n v="603"/>
    <n v="1809"/>
    <n v="603"/>
    <n v="603"/>
    <n v="603"/>
    <n v="1809"/>
    <n v="603"/>
    <n v="603"/>
    <n v="603"/>
    <n v="1809"/>
    <n v="1810"/>
    <n v="3015"/>
    <n v="2746"/>
    <n v="3015"/>
    <n v="16283"/>
    <x v="0"/>
    <x v="1"/>
    <n v="0.87883642809836726"/>
    <n v="0"/>
    <n v="0"/>
    <n v="0"/>
  </r>
  <r>
    <n v="127"/>
    <x v="1"/>
    <s v="Karnataka"/>
    <s v="Shivamogga(Shimoga)"/>
    <n v="33404"/>
    <x v="1"/>
    <n v="334"/>
    <n v="334"/>
    <n v="334"/>
    <n v="1002"/>
    <n v="334"/>
    <n v="334"/>
    <n v="334"/>
    <n v="1002"/>
    <n v="334"/>
    <n v="334"/>
    <n v="334"/>
    <n v="1002"/>
    <n v="334"/>
    <n v="334"/>
    <n v="334"/>
    <n v="1002"/>
    <n v="333"/>
    <n v="334"/>
    <n v="334"/>
    <n v="1001"/>
    <n v="1002"/>
    <n v="1669"/>
    <n v="1434"/>
    <n v="1670"/>
    <n v="9017"/>
    <x v="0"/>
    <x v="1"/>
    <n v="0.43663947642848233"/>
    <n v="5.0472895040369087E-2"/>
    <n v="0"/>
    <n v="1"/>
  </r>
  <r>
    <n v="128"/>
    <x v="1"/>
    <s v="Karnataka"/>
    <s v="Udupi"/>
    <n v="24868"/>
    <x v="1"/>
    <n v="98"/>
    <n v="98"/>
    <n v="98"/>
    <n v="294"/>
    <n v="98"/>
    <n v="98"/>
    <n v="98"/>
    <n v="294"/>
    <n v="98"/>
    <n v="98"/>
    <n v="98"/>
    <n v="294"/>
    <n v="97"/>
    <n v="97"/>
    <n v="97"/>
    <n v="291"/>
    <n v="97"/>
    <n v="97"/>
    <n v="97"/>
    <n v="291"/>
    <n v="294"/>
    <n v="488"/>
    <n v="705"/>
    <n v="488"/>
    <n v="2637"/>
    <x v="1"/>
    <x v="0"/>
    <n v="8.9973995145580354E-2"/>
    <n v="0"/>
    <n v="0"/>
    <n v="0"/>
  </r>
  <r>
    <n v="129"/>
    <x v="1"/>
    <s v="Kerala"/>
    <s v="Ernakulam"/>
    <n v="11378"/>
    <x v="1"/>
    <n v="315"/>
    <n v="315"/>
    <n v="315"/>
    <n v="945"/>
    <n v="315"/>
    <n v="316"/>
    <n v="316"/>
    <n v="947"/>
    <n v="315"/>
    <n v="316"/>
    <n v="313"/>
    <n v="944"/>
    <n v="311"/>
    <n v="311"/>
    <n v="311"/>
    <n v="933"/>
    <n v="310"/>
    <n v="310"/>
    <n v="310"/>
    <n v="930"/>
    <n v="947"/>
    <n v="1566"/>
    <n v="1477"/>
    <n v="1565"/>
    <n v="8468"/>
    <x v="1"/>
    <x v="1"/>
    <n v="0.22369056853203606"/>
    <n v="5.5960563771436503E-2"/>
    <n v="0"/>
    <n v="0"/>
  </r>
  <r>
    <n v="130"/>
    <x v="1"/>
    <s v="Kerala"/>
    <s v="Kannur"/>
    <n v="14118"/>
    <x v="1"/>
    <n v="224"/>
    <n v="224"/>
    <n v="224"/>
    <n v="672"/>
    <n v="224"/>
    <n v="224"/>
    <n v="224"/>
    <n v="672"/>
    <n v="224"/>
    <n v="224"/>
    <n v="224"/>
    <n v="672"/>
    <n v="224"/>
    <n v="224"/>
    <n v="224"/>
    <n v="672"/>
    <n v="224"/>
    <n v="224"/>
    <n v="224"/>
    <n v="672"/>
    <n v="672"/>
    <n v="1120"/>
    <n v="1256"/>
    <n v="1120"/>
    <n v="6048"/>
    <x v="1"/>
    <x v="0"/>
    <n v="0.52398593917494429"/>
    <n v="3.7117759725249326E-2"/>
    <n v="1"/>
    <n v="0"/>
  </r>
  <r>
    <n v="131"/>
    <x v="1"/>
    <s v="Kerala"/>
    <s v="Kollam"/>
    <n v="7980"/>
    <x v="1"/>
    <n v="362"/>
    <n v="360"/>
    <n v="357"/>
    <n v="1079"/>
    <n v="362"/>
    <n v="360"/>
    <n v="360"/>
    <n v="1082"/>
    <n v="360"/>
    <n v="359"/>
    <n v="357"/>
    <n v="1076"/>
    <n v="362"/>
    <n v="360"/>
    <n v="359"/>
    <n v="1081"/>
    <n v="357"/>
    <n v="362"/>
    <n v="363"/>
    <n v="1082"/>
    <n v="1082"/>
    <n v="1801"/>
    <n v="1610"/>
    <n v="1796"/>
    <n v="9718"/>
    <x v="0"/>
    <x v="1"/>
    <n v="0.82936772638076595"/>
    <n v="0"/>
    <n v="0"/>
    <n v="0"/>
  </r>
  <r>
    <n v="132"/>
    <x v="1"/>
    <s v="Kerala"/>
    <s v="Kottayam"/>
    <n v="38759"/>
    <x v="1"/>
    <n v="169"/>
    <n v="169"/>
    <n v="169"/>
    <n v="507"/>
    <n v="169"/>
    <n v="169"/>
    <n v="169"/>
    <n v="507"/>
    <n v="169"/>
    <n v="169"/>
    <n v="169"/>
    <n v="507"/>
    <n v="168"/>
    <n v="168"/>
    <n v="168"/>
    <n v="504"/>
    <n v="168"/>
    <n v="168"/>
    <n v="168"/>
    <n v="504"/>
    <n v="507"/>
    <n v="843"/>
    <n v="806"/>
    <n v="843"/>
    <n v="4554"/>
    <x v="1"/>
    <x v="0"/>
    <n v="0.93447117484513298"/>
    <n v="0"/>
    <n v="0"/>
    <n v="0"/>
  </r>
  <r>
    <n v="133"/>
    <x v="1"/>
    <s v="Kerala"/>
    <s v="Kozhikode"/>
    <n v="27849"/>
    <x v="1"/>
    <n v="132"/>
    <n v="132"/>
    <n v="132"/>
    <n v="396"/>
    <n v="132"/>
    <n v="132"/>
    <n v="132"/>
    <n v="396"/>
    <n v="132"/>
    <n v="132"/>
    <n v="132"/>
    <n v="396"/>
    <n v="132"/>
    <n v="132"/>
    <n v="132"/>
    <n v="396"/>
    <n v="95"/>
    <n v="132"/>
    <n v="132"/>
    <n v="359"/>
    <n v="396"/>
    <n v="623"/>
    <n v="730"/>
    <n v="660"/>
    <n v="3527"/>
    <x v="0"/>
    <x v="0"/>
    <n v="5.9374973761758931E-2"/>
    <e v="#N/A"/>
    <n v="0"/>
    <n v="0"/>
  </r>
  <r>
    <n v="134"/>
    <x v="1"/>
    <s v="Kerala"/>
    <s v="Thiruvananthapuram"/>
    <n v="8569"/>
    <x v="0"/>
    <n v="202"/>
    <n v="202"/>
    <n v="202"/>
    <n v="606"/>
    <n v="202"/>
    <n v="202"/>
    <n v="202"/>
    <n v="606"/>
    <n v="202"/>
    <n v="202"/>
    <n v="202"/>
    <n v="606"/>
    <n v="202"/>
    <n v="202"/>
    <n v="202"/>
    <n v="606"/>
    <n v="202"/>
    <n v="202"/>
    <n v="202"/>
    <n v="606"/>
    <n v="606"/>
    <n v="1010"/>
    <n v="1048"/>
    <n v="1010"/>
    <n v="5454"/>
    <x v="0"/>
    <x v="0"/>
    <n v="5.1108556604606004E-2"/>
    <n v="2.1677893447642375E-2"/>
    <n v="0"/>
    <n v="0"/>
  </r>
  <r>
    <n v="135"/>
    <x v="1"/>
    <s v="Kerala"/>
    <s v="Thiruvananthapuram"/>
    <n v="8765"/>
    <x v="0"/>
    <n v="240"/>
    <n v="240"/>
    <n v="240"/>
    <n v="720"/>
    <n v="240"/>
    <n v="240"/>
    <n v="240"/>
    <n v="720"/>
    <n v="240"/>
    <n v="240"/>
    <n v="240"/>
    <n v="720"/>
    <n v="240"/>
    <n v="240"/>
    <n v="240"/>
    <n v="720"/>
    <n v="240"/>
    <n v="240"/>
    <n v="240"/>
    <n v="720"/>
    <n v="720"/>
    <n v="1200"/>
    <n v="1181"/>
    <n v="1200"/>
    <n v="6480"/>
    <x v="0"/>
    <x v="0"/>
    <n v="1.0145108311786166E-2"/>
    <n v="0"/>
    <n v="0"/>
    <n v="0"/>
  </r>
  <r>
    <n v="136"/>
    <x v="1"/>
    <s v="Kerala"/>
    <s v="Thrissur"/>
    <n v="8059"/>
    <x v="1"/>
    <n v="221"/>
    <n v="221"/>
    <n v="221"/>
    <n v="663"/>
    <n v="221"/>
    <n v="221"/>
    <n v="221"/>
    <n v="663"/>
    <n v="221"/>
    <n v="221"/>
    <n v="221"/>
    <n v="663"/>
    <n v="221"/>
    <n v="221"/>
    <n v="221"/>
    <n v="663"/>
    <n v="221"/>
    <n v="221"/>
    <n v="221"/>
    <n v="663"/>
    <n v="663"/>
    <n v="1105"/>
    <n v="1300"/>
    <n v="1105"/>
    <n v="5967"/>
    <x v="0"/>
    <x v="0"/>
    <n v="0.77556032695080346"/>
    <n v="2.4594764121356177E-2"/>
    <n v="0"/>
    <n v="0"/>
  </r>
  <r>
    <n v="137"/>
    <x v="3"/>
    <s v="Madhya Pradesh"/>
    <s v="Bhopal"/>
    <n v="8817"/>
    <x v="1"/>
    <n v="416"/>
    <n v="416"/>
    <n v="416"/>
    <n v="1248"/>
    <n v="416"/>
    <n v="416"/>
    <n v="416"/>
    <n v="1248"/>
    <n v="416"/>
    <n v="416"/>
    <n v="416"/>
    <n v="1248"/>
    <n v="416"/>
    <n v="416"/>
    <n v="416"/>
    <n v="1248"/>
    <n v="416"/>
    <n v="416"/>
    <n v="416"/>
    <n v="1248"/>
    <n v="1248"/>
    <n v="2080"/>
    <n v="2519"/>
    <n v="2080"/>
    <n v="11232"/>
    <x v="0"/>
    <x v="0"/>
    <n v="0.70103868577957473"/>
    <n v="1.9192939550215324E-2"/>
    <n v="0"/>
    <n v="0"/>
  </r>
  <r>
    <n v="138"/>
    <x v="3"/>
    <s v="Madhya Pradesh"/>
    <s v="Bhopal"/>
    <n v="8213"/>
    <x v="1"/>
    <n v="855"/>
    <n v="855"/>
    <n v="855"/>
    <n v="2565"/>
    <n v="855"/>
    <n v="855"/>
    <n v="855"/>
    <n v="2565"/>
    <n v="855"/>
    <n v="855"/>
    <n v="855"/>
    <n v="2565"/>
    <n v="855"/>
    <n v="855"/>
    <n v="855"/>
    <n v="2565"/>
    <n v="855"/>
    <n v="855"/>
    <n v="855"/>
    <n v="2565"/>
    <n v="2565"/>
    <n v="4275"/>
    <n v="4559"/>
    <n v="4275"/>
    <n v="23085"/>
    <x v="1"/>
    <x v="0"/>
    <n v="0.64495576248393671"/>
    <n v="0"/>
    <n v="0"/>
    <n v="0"/>
  </r>
  <r>
    <n v="139"/>
    <x v="3"/>
    <s v="Madhya Pradesh"/>
    <s v="Gwalior"/>
    <n v="30270"/>
    <x v="1"/>
    <n v="1139"/>
    <n v="1139"/>
    <n v="1139"/>
    <n v="3417"/>
    <n v="1139"/>
    <n v="1139"/>
    <n v="1139"/>
    <n v="3417"/>
    <n v="1139"/>
    <n v="1139"/>
    <n v="1139"/>
    <n v="3417"/>
    <n v="1139"/>
    <n v="1139"/>
    <n v="1139"/>
    <n v="3417"/>
    <n v="1139"/>
    <n v="1139"/>
    <n v="1139"/>
    <n v="3417"/>
    <n v="3417"/>
    <n v="5695"/>
    <n v="5689"/>
    <n v="5695"/>
    <n v="30753"/>
    <x v="0"/>
    <x v="0"/>
    <n v="0.42601691422868326"/>
    <n v="0"/>
    <n v="3"/>
    <n v="0"/>
  </r>
  <r>
    <n v="140"/>
    <x v="3"/>
    <s v="Madhya Pradesh"/>
    <s v="Jabalpur"/>
    <n v="30269"/>
    <x v="1"/>
    <n v="1133"/>
    <n v="1133"/>
    <n v="1133"/>
    <n v="3399"/>
    <n v="1133"/>
    <n v="1133"/>
    <n v="1133"/>
    <n v="3399"/>
    <n v="1133"/>
    <n v="1133"/>
    <n v="1133"/>
    <n v="3399"/>
    <n v="1133"/>
    <n v="1133"/>
    <n v="1133"/>
    <n v="3399"/>
    <n v="1133"/>
    <n v="1133"/>
    <n v="1133"/>
    <n v="3399"/>
    <n v="3399"/>
    <n v="5665"/>
    <n v="4709"/>
    <n v="5665"/>
    <n v="30591"/>
    <x v="0"/>
    <x v="0"/>
    <n v="5.0354449036242421E-2"/>
    <n v="0"/>
    <n v="4"/>
    <n v="0"/>
  </r>
  <r>
    <n v="141"/>
    <x v="3"/>
    <s v="Madhya Pradesh"/>
    <s v="Sagar"/>
    <n v="9120"/>
    <x v="0"/>
    <n v="177"/>
    <n v="177"/>
    <n v="177"/>
    <n v="531"/>
    <n v="177"/>
    <n v="177"/>
    <n v="177"/>
    <n v="531"/>
    <n v="177"/>
    <n v="177"/>
    <n v="177"/>
    <n v="531"/>
    <n v="177"/>
    <n v="177"/>
    <n v="177"/>
    <n v="531"/>
    <n v="177"/>
    <n v="177"/>
    <n v="177"/>
    <n v="531"/>
    <n v="531"/>
    <n v="885"/>
    <n v="931"/>
    <n v="885"/>
    <n v="4779"/>
    <x v="0"/>
    <x v="1"/>
    <n v="0.86958596238910868"/>
    <n v="0"/>
    <n v="0"/>
    <n v="0"/>
  </r>
  <r>
    <n v="142"/>
    <x v="3"/>
    <s v="Madhya Pradesh"/>
    <s v="Sagar"/>
    <n v="9040"/>
    <x v="0"/>
    <n v="223"/>
    <n v="223"/>
    <n v="223"/>
    <n v="669"/>
    <n v="223"/>
    <n v="223"/>
    <n v="223"/>
    <n v="669"/>
    <n v="223"/>
    <n v="223"/>
    <n v="223"/>
    <n v="669"/>
    <n v="223"/>
    <n v="223"/>
    <n v="223"/>
    <n v="669"/>
    <n v="223"/>
    <n v="223"/>
    <n v="223"/>
    <n v="669"/>
    <n v="669"/>
    <n v="1115"/>
    <n v="1343"/>
    <n v="1115"/>
    <n v="6021"/>
    <x v="0"/>
    <x v="1"/>
    <n v="0.36758487133685569"/>
    <n v="0.14436958614051973"/>
    <n v="0"/>
    <n v="0"/>
  </r>
  <r>
    <n v="143"/>
    <x v="3"/>
    <s v="Madhya Pradesh"/>
    <s v="Satna"/>
    <n v="9252"/>
    <x v="1"/>
    <n v="451"/>
    <n v="451"/>
    <n v="451"/>
    <n v="1353"/>
    <n v="451"/>
    <n v="451"/>
    <n v="451"/>
    <n v="1353"/>
    <n v="451"/>
    <n v="451"/>
    <n v="451"/>
    <n v="1353"/>
    <n v="451"/>
    <n v="451"/>
    <n v="451"/>
    <n v="1353"/>
    <n v="451"/>
    <n v="451"/>
    <n v="451"/>
    <n v="1353"/>
    <n v="1353"/>
    <n v="2255"/>
    <n v="2260"/>
    <n v="2255"/>
    <n v="12177"/>
    <x v="1"/>
    <x v="0"/>
    <n v="0.48689155568450704"/>
    <n v="0"/>
    <n v="0"/>
    <n v="0"/>
  </r>
  <r>
    <n v="144"/>
    <x v="3"/>
    <s v="Madhya Pradesh"/>
    <s v="Ujjain"/>
    <n v="23441"/>
    <x v="1"/>
    <n v="456"/>
    <n v="456"/>
    <n v="456"/>
    <n v="1368"/>
    <n v="456"/>
    <n v="456"/>
    <n v="456"/>
    <n v="1368"/>
    <n v="456"/>
    <n v="456"/>
    <n v="456"/>
    <n v="1368"/>
    <n v="456"/>
    <n v="456"/>
    <n v="456"/>
    <n v="1368"/>
    <n v="456"/>
    <n v="456"/>
    <n v="456"/>
    <n v="1368"/>
    <n v="1368"/>
    <n v="2280"/>
    <n v="1988"/>
    <n v="2280"/>
    <n v="12312"/>
    <x v="0"/>
    <x v="1"/>
    <n v="0.2164371490504835"/>
    <n v="7.3090430201931525E-2"/>
    <n v="0"/>
    <n v="0"/>
  </r>
  <r>
    <n v="145"/>
    <x v="3"/>
    <s v="Maharashtra"/>
    <s v="Ahmednagar"/>
    <n v="33399"/>
    <x v="0"/>
    <n v="167"/>
    <n v="164"/>
    <n v="164"/>
    <n v="495"/>
    <n v="164"/>
    <n v="164"/>
    <n v="164"/>
    <n v="492"/>
    <n v="164"/>
    <n v="164"/>
    <n v="164"/>
    <n v="492"/>
    <n v="164"/>
    <n v="164"/>
    <n v="164"/>
    <n v="492"/>
    <n v="164"/>
    <n v="164"/>
    <n v="164"/>
    <n v="492"/>
    <n v="495"/>
    <n v="820"/>
    <n v="792"/>
    <n v="820"/>
    <n v="4434"/>
    <x v="1"/>
    <x v="0"/>
    <n v="0.56971462821072127"/>
    <n v="2.1832403083115008E-2"/>
    <n v="0"/>
    <n v="0"/>
  </r>
  <r>
    <n v="146"/>
    <x v="3"/>
    <s v="Maharashtra"/>
    <s v="Akola"/>
    <n v="23442"/>
    <x v="0"/>
    <n v="138"/>
    <n v="136"/>
    <n v="136"/>
    <n v="410"/>
    <n v="136"/>
    <n v="136"/>
    <n v="136"/>
    <n v="408"/>
    <n v="136"/>
    <n v="136"/>
    <n v="136"/>
    <n v="408"/>
    <n v="136"/>
    <n v="136"/>
    <n v="136"/>
    <n v="408"/>
    <n v="136"/>
    <n v="136"/>
    <n v="136"/>
    <n v="408"/>
    <n v="410"/>
    <n v="680"/>
    <n v="679"/>
    <n v="680"/>
    <n v="3676"/>
    <x v="1"/>
    <x v="0"/>
    <n v="0.98278485741962951"/>
    <n v="0.1488997555012225"/>
    <n v="0"/>
    <n v="0"/>
  </r>
  <r>
    <n v="147"/>
    <x v="3"/>
    <s v="Maharashtra"/>
    <s v="Ambajogai"/>
    <n v="23443"/>
    <x v="0"/>
    <n v="135"/>
    <n v="135"/>
    <n v="135"/>
    <n v="405"/>
    <n v="124"/>
    <n v="124"/>
    <n v="124"/>
    <n v="372"/>
    <n v="124"/>
    <n v="124"/>
    <n v="124"/>
    <n v="372"/>
    <n v="124"/>
    <n v="124"/>
    <n v="124"/>
    <n v="372"/>
    <n v="124"/>
    <n v="124"/>
    <n v="124"/>
    <n v="372"/>
    <n v="405"/>
    <n v="631"/>
    <n v="951"/>
    <n v="631"/>
    <n v="3414"/>
    <x v="1"/>
    <x v="0"/>
    <n v="0.8460609554610049"/>
    <n v="3.5441705412755507E-2"/>
    <n v="0"/>
    <n v="0"/>
  </r>
  <r>
    <n v="148"/>
    <x v="3"/>
    <s v="Maharashtra"/>
    <s v="Amravati"/>
    <n v="7947"/>
    <x v="1"/>
    <n v="454"/>
    <n v="455"/>
    <n v="455"/>
    <n v="1364"/>
    <n v="455"/>
    <n v="455"/>
    <n v="455"/>
    <n v="1365"/>
    <n v="455"/>
    <n v="455"/>
    <n v="455"/>
    <n v="1365"/>
    <n v="455"/>
    <n v="455"/>
    <n v="455"/>
    <n v="1365"/>
    <n v="455"/>
    <n v="455"/>
    <n v="455"/>
    <n v="1365"/>
    <n v="1365"/>
    <n v="2275"/>
    <n v="2048"/>
    <n v="2275"/>
    <n v="12283"/>
    <x v="0"/>
    <x v="0"/>
    <n v="0.83893424361981894"/>
    <n v="0"/>
    <n v="0"/>
    <n v="0"/>
  </r>
  <r>
    <n v="149"/>
    <x v="3"/>
    <s v="Maharashtra"/>
    <s v="Amravati"/>
    <n v="7973"/>
    <x v="1"/>
    <n v="228"/>
    <n v="228"/>
    <n v="228"/>
    <n v="684"/>
    <n v="228"/>
    <n v="228"/>
    <n v="228"/>
    <n v="684"/>
    <n v="228"/>
    <n v="228"/>
    <n v="228"/>
    <n v="684"/>
    <n v="228"/>
    <n v="228"/>
    <n v="228"/>
    <n v="684"/>
    <n v="228"/>
    <n v="228"/>
    <n v="228"/>
    <n v="684"/>
    <n v="684"/>
    <n v="1140"/>
    <n v="1045"/>
    <n v="1140"/>
    <n v="6156"/>
    <x v="0"/>
    <x v="1"/>
    <n v="0.690906752557229"/>
    <n v="1.8403944599729907E-2"/>
    <n v="0"/>
    <n v="0"/>
  </r>
  <r>
    <n v="150"/>
    <x v="3"/>
    <s v="Maharashtra"/>
    <s v="Amravati"/>
    <n v="28847"/>
    <x v="0"/>
    <n v="133"/>
    <n v="133"/>
    <n v="133"/>
    <n v="399"/>
    <n v="133"/>
    <n v="133"/>
    <n v="133"/>
    <n v="399"/>
    <n v="133"/>
    <n v="133"/>
    <n v="133"/>
    <n v="399"/>
    <n v="133"/>
    <n v="133"/>
    <n v="133"/>
    <n v="399"/>
    <n v="133"/>
    <n v="133"/>
    <n v="133"/>
    <n v="399"/>
    <n v="399"/>
    <n v="665"/>
    <n v="613"/>
    <n v="665"/>
    <n v="3591"/>
    <x v="1"/>
    <x v="1"/>
    <n v="7.3249024615004377E-2"/>
    <n v="2.0277676287906467E-2"/>
    <n v="0"/>
    <n v="0"/>
  </r>
  <r>
    <n v="151"/>
    <x v="3"/>
    <s v="Maharashtra"/>
    <s v="Buldana"/>
    <n v="29042"/>
    <x v="0"/>
    <n v="81"/>
    <n v="81"/>
    <n v="81"/>
    <n v="243"/>
    <n v="81"/>
    <n v="81"/>
    <n v="81"/>
    <n v="243"/>
    <n v="81"/>
    <n v="81"/>
    <n v="81"/>
    <n v="243"/>
    <n v="81"/>
    <n v="81"/>
    <n v="81"/>
    <n v="243"/>
    <n v="81"/>
    <n v="81"/>
    <n v="81"/>
    <n v="243"/>
    <n v="243"/>
    <n v="405"/>
    <n v="1229"/>
    <n v="405"/>
    <n v="2187"/>
    <x v="1"/>
    <x v="1"/>
    <n v="0.85331287455515359"/>
    <n v="4.9212098106493837E-2"/>
    <n v="1"/>
    <n v="0"/>
  </r>
  <r>
    <n v="152"/>
    <x v="3"/>
    <s v="Maharashtra"/>
    <s v="Chhatrapati Sambhaji Nagar"/>
    <n v="14090"/>
    <x v="1"/>
    <n v="905"/>
    <n v="905"/>
    <n v="905"/>
    <n v="2715"/>
    <n v="905"/>
    <n v="905"/>
    <n v="905"/>
    <n v="2715"/>
    <n v="905"/>
    <n v="905"/>
    <n v="905"/>
    <n v="2715"/>
    <n v="905"/>
    <n v="905"/>
    <n v="905"/>
    <n v="2715"/>
    <n v="905"/>
    <n v="905"/>
    <n v="905"/>
    <n v="2715"/>
    <n v="2715"/>
    <n v="4525"/>
    <n v="3870"/>
    <n v="4525"/>
    <n v="24435"/>
    <x v="1"/>
    <x v="0"/>
    <n v="0.99834510321857406"/>
    <n v="0"/>
    <n v="0"/>
    <n v="0"/>
  </r>
  <r>
    <n v="153"/>
    <x v="3"/>
    <s v="Maharashtra"/>
    <s v="Dhule"/>
    <n v="9697"/>
    <x v="0"/>
    <n v="250"/>
    <n v="250"/>
    <n v="250"/>
    <n v="750"/>
    <n v="250"/>
    <n v="250"/>
    <n v="250"/>
    <n v="750"/>
    <n v="250"/>
    <n v="250"/>
    <n v="250"/>
    <n v="750"/>
    <n v="250"/>
    <n v="250"/>
    <n v="250"/>
    <n v="750"/>
    <n v="250"/>
    <n v="250"/>
    <n v="250"/>
    <n v="750"/>
    <n v="750"/>
    <n v="1250"/>
    <n v="1234"/>
    <n v="1250"/>
    <n v="6750"/>
    <x v="1"/>
    <x v="1"/>
    <n v="0.49554359376498369"/>
    <n v="6.4568306010928958E-2"/>
    <n v="0"/>
    <n v="0"/>
  </r>
  <r>
    <n v="154"/>
    <x v="3"/>
    <s v="Maharashtra"/>
    <s v="Jalgaon"/>
    <n v="9669"/>
    <x v="0"/>
    <n v="234"/>
    <n v="234"/>
    <n v="234"/>
    <n v="702"/>
    <n v="234"/>
    <n v="234"/>
    <n v="234"/>
    <n v="702"/>
    <n v="234"/>
    <n v="234"/>
    <n v="234"/>
    <n v="702"/>
    <n v="234"/>
    <n v="234"/>
    <n v="234"/>
    <n v="702"/>
    <n v="234"/>
    <n v="234"/>
    <n v="234"/>
    <n v="702"/>
    <n v="702"/>
    <n v="1170"/>
    <n v="1138"/>
    <n v="1170"/>
    <n v="6318"/>
    <x v="1"/>
    <x v="1"/>
    <n v="0.26181458418931414"/>
    <n v="0"/>
    <n v="0"/>
    <n v="0"/>
  </r>
  <r>
    <n v="155"/>
    <x v="3"/>
    <s v="Maharashtra"/>
    <s v="Jalgaon"/>
    <n v="23445"/>
    <x v="0"/>
    <n v="202"/>
    <n v="202"/>
    <n v="202"/>
    <n v="606"/>
    <n v="202"/>
    <n v="202"/>
    <n v="202"/>
    <n v="606"/>
    <n v="202"/>
    <n v="202"/>
    <n v="202"/>
    <n v="606"/>
    <n v="202"/>
    <n v="202"/>
    <n v="202"/>
    <n v="606"/>
    <n v="202"/>
    <n v="202"/>
    <n v="202"/>
    <n v="606"/>
    <n v="606"/>
    <n v="1010"/>
    <n v="941"/>
    <n v="1010"/>
    <n v="5454"/>
    <x v="1"/>
    <x v="1"/>
    <n v="0.21176344779825251"/>
    <n v="0"/>
    <n v="0"/>
    <n v="0"/>
  </r>
  <r>
    <n v="156"/>
    <x v="3"/>
    <s v="Maharashtra"/>
    <s v="Jalgaon"/>
    <n v="15806"/>
    <x v="0"/>
    <n v="133"/>
    <n v="133"/>
    <n v="133"/>
    <n v="399"/>
    <n v="123"/>
    <n v="123"/>
    <n v="123"/>
    <n v="369"/>
    <n v="123"/>
    <n v="123"/>
    <n v="123"/>
    <n v="369"/>
    <n v="123"/>
    <n v="123"/>
    <n v="123"/>
    <n v="369"/>
    <n v="123"/>
    <n v="123"/>
    <n v="123"/>
    <n v="369"/>
    <n v="399"/>
    <n v="625"/>
    <n v="950"/>
    <n v="625"/>
    <n v="3381"/>
    <x v="1"/>
    <x v="1"/>
    <n v="0.62509346482308548"/>
    <n v="6.2053911717829674E-2"/>
    <n v="0"/>
    <n v="0"/>
  </r>
  <r>
    <n v="157"/>
    <x v="3"/>
    <s v="Maharashtra"/>
    <s v="Kolhapur"/>
    <n v="4404"/>
    <x v="1"/>
    <n v="458"/>
    <n v="458"/>
    <n v="458"/>
    <n v="1374"/>
    <n v="458"/>
    <n v="458"/>
    <n v="458"/>
    <n v="1374"/>
    <n v="458"/>
    <n v="458"/>
    <n v="458"/>
    <n v="1374"/>
    <n v="458"/>
    <n v="458"/>
    <n v="458"/>
    <n v="1374"/>
    <n v="457"/>
    <n v="458"/>
    <n v="458"/>
    <n v="1373"/>
    <n v="1374"/>
    <n v="2289"/>
    <n v="1939"/>
    <n v="2290"/>
    <n v="12365"/>
    <x v="1"/>
    <x v="1"/>
    <n v="0.59019111343671882"/>
    <n v="4.1400026119890299E-2"/>
    <n v="0"/>
    <n v="0"/>
  </r>
  <r>
    <n v="158"/>
    <x v="3"/>
    <s v="Maharashtra"/>
    <s v="Latur"/>
    <n v="9694"/>
    <x v="0"/>
    <n v="107"/>
    <n v="107"/>
    <n v="107"/>
    <n v="321"/>
    <n v="107"/>
    <n v="107"/>
    <n v="107"/>
    <n v="321"/>
    <n v="107"/>
    <n v="107"/>
    <n v="107"/>
    <n v="321"/>
    <n v="107"/>
    <n v="107"/>
    <n v="107"/>
    <n v="321"/>
    <n v="107"/>
    <n v="107"/>
    <n v="107"/>
    <n v="321"/>
    <n v="321"/>
    <n v="535"/>
    <n v="1476"/>
    <n v="535"/>
    <n v="2889"/>
    <x v="0"/>
    <x v="0"/>
    <n v="0.61238839086937236"/>
    <n v="0.12173727000427899"/>
    <n v="0"/>
    <n v="0"/>
  </r>
  <r>
    <n v="159"/>
    <x v="3"/>
    <s v="Maharashtra"/>
    <s v="Mumbai"/>
    <n v="7949"/>
    <x v="2"/>
    <n v="1047"/>
    <n v="1048"/>
    <n v="1048"/>
    <n v="3143"/>
    <n v="1048"/>
    <n v="1048"/>
    <n v="1048"/>
    <n v="3144"/>
    <n v="1048"/>
    <n v="1048"/>
    <n v="1048"/>
    <n v="3144"/>
    <n v="1048"/>
    <n v="1048"/>
    <n v="1048"/>
    <n v="3144"/>
    <n v="1047"/>
    <n v="1048"/>
    <n v="1048"/>
    <n v="3143"/>
    <n v="3144"/>
    <n v="5239"/>
    <n v="4873"/>
    <n v="5240"/>
    <n v="28293"/>
    <x v="0"/>
    <x v="1"/>
    <n v="0.44160779473746603"/>
    <n v="0"/>
    <n v="0"/>
    <n v="0"/>
  </r>
  <r>
    <n v="160"/>
    <x v="3"/>
    <s v="Maharashtra"/>
    <s v="Nagpur"/>
    <n v="13305"/>
    <x v="1"/>
    <n v="681"/>
    <n v="681"/>
    <n v="681"/>
    <n v="2043"/>
    <n v="681"/>
    <n v="681"/>
    <n v="681"/>
    <n v="2043"/>
    <n v="681"/>
    <n v="681"/>
    <n v="681"/>
    <n v="2043"/>
    <n v="681"/>
    <n v="681"/>
    <n v="681"/>
    <n v="2043"/>
    <n v="681"/>
    <n v="681"/>
    <n v="681"/>
    <n v="2043"/>
    <n v="2043"/>
    <n v="3405"/>
    <n v="3178"/>
    <n v="3405"/>
    <n v="18387"/>
    <x v="0"/>
    <x v="0"/>
    <n v="0.87365050567807689"/>
    <n v="0"/>
    <n v="0"/>
    <n v="0"/>
  </r>
  <r>
    <n v="161"/>
    <x v="3"/>
    <s v="Maharashtra"/>
    <s v="Nagpur"/>
    <n v="38756"/>
    <x v="1"/>
    <n v="454"/>
    <n v="454"/>
    <n v="454"/>
    <n v="1362"/>
    <n v="454"/>
    <n v="454"/>
    <n v="454"/>
    <n v="1362"/>
    <n v="454"/>
    <n v="454"/>
    <n v="454"/>
    <n v="1362"/>
    <n v="454"/>
    <n v="454"/>
    <n v="454"/>
    <n v="1362"/>
    <n v="454"/>
    <n v="454"/>
    <n v="454"/>
    <n v="1362"/>
    <n v="1362"/>
    <n v="2270"/>
    <n v="2145"/>
    <n v="2270"/>
    <n v="12258"/>
    <x v="0"/>
    <x v="0"/>
    <n v="0.73224191656774684"/>
    <n v="3.9723249433377072E-2"/>
    <n v="0"/>
    <n v="0"/>
  </r>
  <r>
    <n v="162"/>
    <x v="3"/>
    <s v="Maharashtra"/>
    <s v="Nagpur"/>
    <n v="23466"/>
    <x v="0"/>
    <n v="329"/>
    <n v="329"/>
    <n v="329"/>
    <n v="987"/>
    <n v="329"/>
    <n v="329"/>
    <n v="329"/>
    <n v="987"/>
    <n v="330"/>
    <n v="330"/>
    <n v="330"/>
    <n v="990"/>
    <n v="330"/>
    <n v="330"/>
    <n v="330"/>
    <n v="990"/>
    <n v="330"/>
    <n v="330"/>
    <n v="330"/>
    <n v="990"/>
    <n v="990"/>
    <n v="1648"/>
    <n v="1549"/>
    <n v="1648"/>
    <n v="8898"/>
    <x v="1"/>
    <x v="1"/>
    <n v="0.68608395213771511"/>
    <n v="1.773210875693371E-2"/>
    <n v="1"/>
    <n v="0"/>
  </r>
  <r>
    <n v="163"/>
    <x v="3"/>
    <s v="Maharashtra"/>
    <s v="Nagpur"/>
    <n v="116"/>
    <x v="0"/>
    <n v="230"/>
    <n v="230"/>
    <n v="230"/>
    <n v="690"/>
    <n v="233"/>
    <n v="233"/>
    <n v="233"/>
    <n v="699"/>
    <n v="233"/>
    <n v="233"/>
    <n v="233"/>
    <n v="699"/>
    <n v="233"/>
    <n v="233"/>
    <n v="233"/>
    <n v="699"/>
    <n v="233"/>
    <n v="233"/>
    <n v="233"/>
    <n v="699"/>
    <n v="699"/>
    <n v="1162"/>
    <n v="1387"/>
    <n v="1162"/>
    <n v="6273"/>
    <x v="0"/>
    <x v="1"/>
    <n v="0.73548826221858776"/>
    <e v="#N/A"/>
    <n v="0"/>
    <n v="0"/>
  </r>
  <r>
    <n v="164"/>
    <x v="3"/>
    <s v="Maharashtra"/>
    <s v="Nanded"/>
    <n v="33952"/>
    <x v="1"/>
    <n v="455"/>
    <n v="455"/>
    <n v="455"/>
    <n v="1365"/>
    <n v="455"/>
    <n v="455"/>
    <n v="455"/>
    <n v="1365"/>
    <n v="455"/>
    <n v="455"/>
    <n v="455"/>
    <n v="1365"/>
    <n v="455"/>
    <n v="455"/>
    <n v="455"/>
    <n v="1365"/>
    <n v="455"/>
    <n v="455"/>
    <n v="455"/>
    <n v="1365"/>
    <n v="1365"/>
    <n v="2275"/>
    <n v="1921"/>
    <n v="2275"/>
    <n v="12285"/>
    <x v="0"/>
    <x v="0"/>
    <n v="0.15597104820928254"/>
    <n v="0"/>
    <n v="0"/>
    <n v="0"/>
  </r>
  <r>
    <n v="165"/>
    <x v="3"/>
    <s v="Maharashtra"/>
    <s v="Nanded"/>
    <n v="14439"/>
    <x v="0"/>
    <n v="101"/>
    <n v="101"/>
    <n v="101"/>
    <n v="303"/>
    <n v="101"/>
    <n v="101"/>
    <n v="101"/>
    <n v="303"/>
    <n v="101"/>
    <n v="101"/>
    <n v="101"/>
    <n v="303"/>
    <n v="101"/>
    <n v="101"/>
    <n v="101"/>
    <n v="303"/>
    <n v="101"/>
    <n v="101"/>
    <n v="101"/>
    <n v="303"/>
    <n v="303"/>
    <n v="505"/>
    <n v="553"/>
    <n v="505"/>
    <n v="2727"/>
    <x v="1"/>
    <x v="1"/>
    <n v="0.86969924977099411"/>
    <n v="3.512975204225962E-2"/>
    <n v="3"/>
    <n v="0"/>
  </r>
  <r>
    <n v="166"/>
    <x v="3"/>
    <s v="Maharashtra"/>
    <s v="Nashik"/>
    <n v="15798"/>
    <x v="0"/>
    <n v="149"/>
    <n v="149"/>
    <n v="149"/>
    <n v="447"/>
    <n v="149"/>
    <n v="149"/>
    <n v="149"/>
    <n v="447"/>
    <n v="149"/>
    <n v="149"/>
    <n v="149"/>
    <n v="447"/>
    <n v="149"/>
    <n v="149"/>
    <n v="149"/>
    <n v="447"/>
    <n v="149"/>
    <n v="149"/>
    <n v="149"/>
    <n v="447"/>
    <n v="447"/>
    <n v="745"/>
    <n v="796"/>
    <n v="745"/>
    <n v="4023"/>
    <x v="1"/>
    <x v="1"/>
    <n v="0.47709299640730185"/>
    <n v="2.0759890325107718E-2"/>
    <n v="1"/>
    <n v="0"/>
  </r>
  <r>
    <n v="167"/>
    <x v="3"/>
    <s v="Maharashtra"/>
    <s v="Nashik"/>
    <n v="7955"/>
    <x v="0"/>
    <n v="200"/>
    <n v="200"/>
    <n v="200"/>
    <n v="600"/>
    <n v="200"/>
    <n v="200"/>
    <n v="200"/>
    <n v="600"/>
    <n v="200"/>
    <n v="200"/>
    <n v="200"/>
    <n v="600"/>
    <n v="200"/>
    <n v="200"/>
    <n v="200"/>
    <n v="600"/>
    <n v="198"/>
    <n v="200"/>
    <n v="200"/>
    <n v="598"/>
    <n v="600"/>
    <n v="998"/>
    <n v="950"/>
    <n v="1000"/>
    <n v="5398"/>
    <x v="1"/>
    <x v="1"/>
    <n v="0.99784628128288877"/>
    <n v="0"/>
    <n v="0"/>
    <n v="0"/>
  </r>
  <r>
    <n v="168"/>
    <x v="3"/>
    <s v="Maharashtra"/>
    <s v="Nashik"/>
    <n v="9500"/>
    <x v="0"/>
    <n v="150"/>
    <n v="150"/>
    <n v="150"/>
    <n v="450"/>
    <n v="150"/>
    <n v="150"/>
    <n v="150"/>
    <n v="450"/>
    <n v="150"/>
    <n v="150"/>
    <n v="150"/>
    <n v="450"/>
    <n v="150"/>
    <n v="150"/>
    <n v="150"/>
    <n v="450"/>
    <n v="150"/>
    <n v="150"/>
    <n v="150"/>
    <n v="450"/>
    <n v="450"/>
    <n v="750"/>
    <n v="1281"/>
    <n v="750"/>
    <n v="4050"/>
    <x v="0"/>
    <x v="1"/>
    <n v="0.22505211104360356"/>
    <n v="3.3313902652287966E-2"/>
    <n v="0"/>
    <n v="0"/>
  </r>
  <r>
    <n v="169"/>
    <x v="3"/>
    <s v="Maharashtra"/>
    <s v="Pune"/>
    <n v="14995"/>
    <x v="1"/>
    <n v="681"/>
    <n v="681"/>
    <n v="681"/>
    <n v="2043"/>
    <n v="681"/>
    <n v="681"/>
    <n v="681"/>
    <n v="2043"/>
    <n v="681"/>
    <n v="681"/>
    <n v="681"/>
    <n v="2043"/>
    <n v="681"/>
    <n v="681"/>
    <n v="681"/>
    <n v="2043"/>
    <n v="681"/>
    <n v="681"/>
    <n v="681"/>
    <n v="2043"/>
    <n v="2043"/>
    <n v="3405"/>
    <n v="2913"/>
    <n v="3405"/>
    <n v="18387"/>
    <x v="1"/>
    <x v="1"/>
    <n v="0.69629576120347014"/>
    <n v="3.6791190696717095E-2"/>
    <n v="1"/>
    <n v="0"/>
  </r>
  <r>
    <n v="170"/>
    <x v="3"/>
    <s v="Maharashtra"/>
    <s v="Yavatmal"/>
    <n v="23401"/>
    <x v="0"/>
    <n v="189"/>
    <n v="189"/>
    <n v="189"/>
    <n v="567"/>
    <n v="189"/>
    <n v="189"/>
    <n v="189"/>
    <n v="567"/>
    <n v="189"/>
    <n v="189"/>
    <n v="189"/>
    <n v="567"/>
    <n v="189"/>
    <n v="189"/>
    <n v="189"/>
    <n v="567"/>
    <n v="188"/>
    <n v="189"/>
    <n v="189"/>
    <n v="566"/>
    <n v="567"/>
    <n v="944"/>
    <n v="756"/>
    <n v="945"/>
    <n v="5102"/>
    <x v="0"/>
    <x v="0"/>
    <n v="0.87985420536178038"/>
    <n v="3.6329665767074942E-2"/>
    <n v="0"/>
    <n v="0"/>
  </r>
  <r>
    <n v="171"/>
    <x v="0"/>
    <s v="Manipur"/>
    <s v="Imphal"/>
    <n v="7806"/>
    <x v="0"/>
    <n v="45"/>
    <n v="0"/>
    <n v="0"/>
    <n v="45"/>
    <n v="0"/>
    <n v="0"/>
    <n v="0"/>
    <n v="0"/>
    <n v="0"/>
    <n v="0"/>
    <n v="0"/>
    <n v="0"/>
    <n v="0"/>
    <n v="0"/>
    <n v="0"/>
    <n v="0"/>
    <n v="0"/>
    <n v="0"/>
    <n v="0"/>
    <n v="0"/>
    <n v="45"/>
    <n v="0"/>
    <n v="0"/>
    <n v="0"/>
    <n v="90"/>
    <x v="1"/>
    <x v="0"/>
    <n v="0.84048356424557724"/>
    <e v="#N/A"/>
    <n v="0"/>
    <n v="0"/>
  </r>
  <r>
    <n v="172"/>
    <x v="0"/>
    <s v="Meghalaya"/>
    <s v="Shillong"/>
    <n v="13302"/>
    <x v="1"/>
    <n v="49"/>
    <n v="0"/>
    <n v="0"/>
    <n v="49"/>
    <n v="0"/>
    <n v="0"/>
    <n v="0"/>
    <n v="0"/>
    <n v="0"/>
    <n v="0"/>
    <n v="0"/>
    <n v="0"/>
    <n v="0"/>
    <n v="0"/>
    <n v="0"/>
    <n v="0"/>
    <n v="0"/>
    <n v="0"/>
    <n v="0"/>
    <n v="0"/>
    <n v="49"/>
    <n v="0"/>
    <n v="0"/>
    <n v="0"/>
    <n v="98"/>
    <x v="0"/>
    <x v="0"/>
    <n v="0.64032764181532531"/>
    <n v="0"/>
    <n v="0"/>
    <n v="0"/>
  </r>
  <r>
    <n v="173"/>
    <x v="0"/>
    <s v="Mizoram"/>
    <s v="Aizawl"/>
    <n v="23883"/>
    <x v="1"/>
    <n v="9"/>
    <n v="0"/>
    <n v="0"/>
    <n v="9"/>
    <n v="0"/>
    <n v="0"/>
    <n v="0"/>
    <n v="0"/>
    <n v="0"/>
    <n v="0"/>
    <n v="0"/>
    <n v="0"/>
    <n v="0"/>
    <n v="0"/>
    <n v="0"/>
    <n v="0"/>
    <n v="0"/>
    <n v="0"/>
    <n v="0"/>
    <n v="0"/>
    <n v="9"/>
    <n v="0"/>
    <n v="0"/>
    <n v="0"/>
    <n v="18"/>
    <x v="1"/>
    <x v="0"/>
    <n v="0.61878343677781056"/>
    <n v="0"/>
    <n v="0"/>
    <n v="0"/>
  </r>
  <r>
    <n v="174"/>
    <x v="0"/>
    <s v="Nagaland"/>
    <s v="Kohima"/>
    <n v="9633"/>
    <x v="1"/>
    <n v="20"/>
    <n v="0"/>
    <n v="0"/>
    <n v="20"/>
    <n v="0"/>
    <n v="0"/>
    <n v="0"/>
    <n v="0"/>
    <n v="0"/>
    <n v="0"/>
    <n v="0"/>
    <n v="0"/>
    <n v="0"/>
    <n v="0"/>
    <n v="0"/>
    <n v="0"/>
    <n v="0"/>
    <n v="0"/>
    <n v="0"/>
    <n v="0"/>
    <n v="20"/>
    <n v="0"/>
    <n v="235"/>
    <n v="0"/>
    <n v="40"/>
    <x v="1"/>
    <x v="0"/>
    <n v="0.3790582593953582"/>
    <n v="0.10359116022099447"/>
    <n v="0"/>
    <n v="0"/>
  </r>
  <r>
    <n v="175"/>
    <x v="2"/>
    <s v="Odisha"/>
    <s v="Balasore"/>
    <n v="7957"/>
    <x v="1"/>
    <n v="235"/>
    <n v="235"/>
    <n v="235"/>
    <n v="705"/>
    <n v="235"/>
    <n v="235"/>
    <n v="235"/>
    <n v="705"/>
    <n v="235"/>
    <n v="235"/>
    <n v="235"/>
    <n v="705"/>
    <n v="235"/>
    <n v="235"/>
    <n v="235"/>
    <n v="705"/>
    <n v="235"/>
    <n v="235"/>
    <n v="235"/>
    <n v="705"/>
    <n v="705"/>
    <n v="1175"/>
    <n v="1089"/>
    <n v="1175"/>
    <n v="6345"/>
    <x v="1"/>
    <x v="0"/>
    <n v="0.35828690559040899"/>
    <n v="0"/>
    <n v="0"/>
    <n v="0"/>
  </r>
  <r>
    <n v="176"/>
    <x v="2"/>
    <s v="Odisha"/>
    <s v="Balasore"/>
    <n v="7945"/>
    <x v="0"/>
    <n v="151"/>
    <n v="149"/>
    <n v="149"/>
    <n v="449"/>
    <n v="149"/>
    <n v="149"/>
    <n v="149"/>
    <n v="447"/>
    <n v="149"/>
    <n v="149"/>
    <n v="149"/>
    <n v="447"/>
    <n v="149"/>
    <n v="149"/>
    <n v="149"/>
    <n v="447"/>
    <n v="149"/>
    <n v="149"/>
    <n v="149"/>
    <n v="447"/>
    <n v="449"/>
    <n v="745"/>
    <n v="829"/>
    <n v="745"/>
    <n v="4027"/>
    <x v="0"/>
    <x v="0"/>
    <n v="0.76174490040924325"/>
    <n v="2.1676670554433477E-2"/>
    <n v="3"/>
    <n v="0"/>
  </r>
  <r>
    <n v="177"/>
    <x v="2"/>
    <s v="Odisha"/>
    <s v="Berhampur-Ganjam"/>
    <n v="2220"/>
    <x v="1"/>
    <n v="233"/>
    <n v="233"/>
    <n v="233"/>
    <n v="699"/>
    <n v="233"/>
    <n v="233"/>
    <n v="233"/>
    <n v="699"/>
    <n v="233"/>
    <n v="233"/>
    <n v="233"/>
    <n v="699"/>
    <n v="233"/>
    <n v="233"/>
    <n v="233"/>
    <n v="699"/>
    <n v="233"/>
    <n v="233"/>
    <n v="233"/>
    <n v="699"/>
    <n v="699"/>
    <n v="1165"/>
    <n v="1140"/>
    <n v="1165"/>
    <n v="6291"/>
    <x v="0"/>
    <x v="0"/>
    <n v="0.66554952467214967"/>
    <n v="0"/>
    <n v="0"/>
    <n v="0"/>
  </r>
  <r>
    <n v="178"/>
    <x v="2"/>
    <s v="Odisha"/>
    <s v="Berhampur-Ganjam"/>
    <n v="6687"/>
    <x v="0"/>
    <n v="208"/>
    <n v="208"/>
    <n v="208"/>
    <n v="624"/>
    <n v="208"/>
    <n v="208"/>
    <n v="207"/>
    <n v="623"/>
    <n v="207"/>
    <n v="205"/>
    <n v="205"/>
    <n v="617"/>
    <n v="204"/>
    <n v="204"/>
    <n v="202"/>
    <n v="610"/>
    <n v="201"/>
    <n v="200"/>
    <n v="200"/>
    <n v="601"/>
    <n v="624"/>
    <n v="1028"/>
    <n v="994"/>
    <n v="1022"/>
    <n v="5549"/>
    <x v="0"/>
    <x v="0"/>
    <n v="0.60870152529690758"/>
    <n v="2.9118674776756826E-2"/>
    <n v="0"/>
    <n v="0"/>
  </r>
  <r>
    <n v="179"/>
    <x v="2"/>
    <s v="Odisha"/>
    <s v="Bhubaneswar"/>
    <n v="15792"/>
    <x v="0"/>
    <n v="177"/>
    <n v="177"/>
    <n v="177"/>
    <n v="531"/>
    <n v="177"/>
    <n v="177"/>
    <n v="177"/>
    <n v="531"/>
    <n v="177"/>
    <n v="177"/>
    <n v="177"/>
    <n v="531"/>
    <n v="177"/>
    <n v="177"/>
    <n v="177"/>
    <n v="531"/>
    <n v="176"/>
    <n v="176"/>
    <n v="176"/>
    <n v="528"/>
    <n v="531"/>
    <n v="884"/>
    <n v="1168"/>
    <n v="884"/>
    <n v="4776"/>
    <x v="0"/>
    <x v="0"/>
    <n v="0.23864226595652882"/>
    <n v="4.022311031885225E-2"/>
    <n v="0"/>
    <n v="0"/>
  </r>
  <r>
    <n v="180"/>
    <x v="2"/>
    <s v="Odisha"/>
    <s v="Bhubaneswar"/>
    <n v="34017"/>
    <x v="1"/>
    <n v="461"/>
    <n v="461"/>
    <n v="460"/>
    <n v="1382"/>
    <n v="460"/>
    <n v="460"/>
    <n v="460"/>
    <n v="1380"/>
    <n v="460"/>
    <n v="460"/>
    <n v="460"/>
    <n v="1380"/>
    <n v="460"/>
    <n v="460"/>
    <n v="460"/>
    <n v="1380"/>
    <n v="460"/>
    <n v="460"/>
    <n v="460"/>
    <n v="1380"/>
    <n v="1382"/>
    <n v="2301"/>
    <n v="1987"/>
    <n v="2300"/>
    <n v="12424"/>
    <x v="0"/>
    <x v="0"/>
    <n v="0.26426902346186787"/>
    <n v="6.1884669479606191E-2"/>
    <n v="0"/>
    <n v="0"/>
  </r>
  <r>
    <n v="181"/>
    <x v="2"/>
    <s v="Odisha"/>
    <s v="Bhubaneswar"/>
    <n v="16640"/>
    <x v="0"/>
    <n v="147"/>
    <n v="147"/>
    <n v="147"/>
    <n v="441"/>
    <n v="147"/>
    <n v="147"/>
    <n v="147"/>
    <n v="441"/>
    <n v="147"/>
    <n v="147"/>
    <n v="147"/>
    <n v="441"/>
    <n v="147"/>
    <n v="147"/>
    <n v="147"/>
    <n v="441"/>
    <n v="147"/>
    <n v="147"/>
    <n v="147"/>
    <n v="441"/>
    <n v="441"/>
    <n v="735"/>
    <n v="710"/>
    <n v="735"/>
    <n v="3969"/>
    <x v="0"/>
    <x v="0"/>
    <n v="0.94152597287946005"/>
    <n v="1.7751479289940829E-2"/>
    <n v="0"/>
    <n v="0"/>
  </r>
  <r>
    <n v="182"/>
    <x v="2"/>
    <s v="Odisha"/>
    <s v="Bhubaneswar"/>
    <n v="14429"/>
    <x v="0"/>
    <n v="122"/>
    <n v="122"/>
    <n v="122"/>
    <n v="366"/>
    <n v="122"/>
    <n v="122"/>
    <n v="122"/>
    <n v="366"/>
    <n v="122"/>
    <n v="122"/>
    <n v="122"/>
    <n v="366"/>
    <n v="122"/>
    <n v="122"/>
    <n v="122"/>
    <n v="366"/>
    <n v="122"/>
    <n v="122"/>
    <n v="122"/>
    <n v="366"/>
    <n v="366"/>
    <n v="610"/>
    <n v="726"/>
    <n v="610"/>
    <n v="3294"/>
    <x v="0"/>
    <x v="0"/>
    <n v="0.86184280205979935"/>
    <n v="3.4530590561638583E-2"/>
    <n v="2"/>
    <n v="0"/>
  </r>
  <r>
    <n v="183"/>
    <x v="2"/>
    <s v="Odisha"/>
    <s v="Bhubaneswar"/>
    <n v="9407"/>
    <x v="0"/>
    <n v="238"/>
    <n v="238"/>
    <n v="238"/>
    <n v="714"/>
    <n v="238"/>
    <n v="238"/>
    <n v="238"/>
    <n v="714"/>
    <n v="238"/>
    <n v="238"/>
    <n v="238"/>
    <n v="714"/>
    <n v="238"/>
    <n v="238"/>
    <n v="238"/>
    <n v="714"/>
    <n v="238"/>
    <n v="238"/>
    <n v="238"/>
    <n v="714"/>
    <n v="714"/>
    <n v="1190"/>
    <n v="1104"/>
    <n v="1190"/>
    <n v="6426"/>
    <x v="0"/>
    <x v="0"/>
    <n v="0.51813154799773664"/>
    <n v="3.9105364319412896E-2"/>
    <n v="0"/>
    <n v="0"/>
  </r>
  <r>
    <n v="184"/>
    <x v="2"/>
    <s v="Odisha"/>
    <s v="Bhubaneswar"/>
    <n v="9338"/>
    <x v="0"/>
    <n v="152"/>
    <n v="152"/>
    <n v="152"/>
    <n v="456"/>
    <n v="152"/>
    <n v="152"/>
    <n v="152"/>
    <n v="456"/>
    <n v="152"/>
    <n v="151"/>
    <n v="151"/>
    <n v="454"/>
    <n v="151"/>
    <n v="151"/>
    <n v="151"/>
    <n v="453"/>
    <n v="151"/>
    <n v="151"/>
    <n v="151"/>
    <n v="453"/>
    <n v="456"/>
    <n v="758"/>
    <n v="807"/>
    <n v="757"/>
    <n v="4091"/>
    <x v="0"/>
    <x v="0"/>
    <n v="4.8430263521565209E-2"/>
    <n v="2.1293149338683919E-2"/>
    <n v="0"/>
    <n v="0"/>
  </r>
  <r>
    <n v="185"/>
    <x v="2"/>
    <s v="Odisha"/>
    <s v="Cuttack"/>
    <n v="8589"/>
    <x v="0"/>
    <n v="202"/>
    <n v="202"/>
    <n v="202"/>
    <n v="606"/>
    <n v="202"/>
    <n v="202"/>
    <n v="202"/>
    <n v="606"/>
    <n v="202"/>
    <n v="202"/>
    <n v="202"/>
    <n v="606"/>
    <n v="202"/>
    <n v="202"/>
    <n v="202"/>
    <n v="606"/>
    <n v="202"/>
    <n v="202"/>
    <n v="202"/>
    <n v="606"/>
    <n v="606"/>
    <n v="1010"/>
    <n v="984"/>
    <n v="1010"/>
    <n v="5454"/>
    <x v="1"/>
    <x v="0"/>
    <n v="0.4987976839858087"/>
    <e v="#N/A"/>
    <n v="0"/>
    <n v="0"/>
  </r>
  <r>
    <n v="186"/>
    <x v="2"/>
    <s v="Odisha"/>
    <s v="Cuttack"/>
    <n v="25807"/>
    <x v="0"/>
    <n v="176"/>
    <n v="176"/>
    <n v="176"/>
    <n v="528"/>
    <n v="176"/>
    <n v="176"/>
    <n v="175"/>
    <n v="527"/>
    <n v="175"/>
    <n v="175"/>
    <n v="175"/>
    <n v="525"/>
    <n v="175"/>
    <n v="174"/>
    <n v="173"/>
    <n v="522"/>
    <n v="172"/>
    <n v="173"/>
    <n v="173"/>
    <n v="518"/>
    <n v="528"/>
    <n v="874"/>
    <n v="931"/>
    <n v="872"/>
    <n v="4722"/>
    <x v="1"/>
    <x v="0"/>
    <n v="0.77116977579906398"/>
    <n v="0"/>
    <n v="0"/>
    <n v="0"/>
  </r>
  <r>
    <n v="187"/>
    <x v="2"/>
    <s v="Odisha"/>
    <s v="Cuttack"/>
    <n v="37507"/>
    <x v="0"/>
    <n v="233"/>
    <n v="233"/>
    <n v="233"/>
    <n v="699"/>
    <n v="233"/>
    <n v="233"/>
    <n v="233"/>
    <n v="699"/>
    <n v="233"/>
    <n v="233"/>
    <n v="233"/>
    <n v="699"/>
    <n v="233"/>
    <n v="233"/>
    <n v="233"/>
    <n v="699"/>
    <n v="233"/>
    <n v="233"/>
    <n v="233"/>
    <n v="699"/>
    <n v="699"/>
    <n v="1165"/>
    <n v="1134"/>
    <n v="1165"/>
    <n v="6291"/>
    <x v="1"/>
    <x v="0"/>
    <n v="9.6164224881220006E-3"/>
    <n v="0"/>
    <n v="0"/>
    <n v="0"/>
  </r>
  <r>
    <n v="188"/>
    <x v="2"/>
    <s v="Odisha"/>
    <s v="Cuttack"/>
    <n v="14947"/>
    <x v="0"/>
    <n v="202"/>
    <n v="202"/>
    <n v="202"/>
    <n v="606"/>
    <n v="202"/>
    <n v="202"/>
    <n v="202"/>
    <n v="606"/>
    <n v="202"/>
    <n v="201"/>
    <n v="201"/>
    <n v="604"/>
    <n v="201"/>
    <n v="201"/>
    <n v="201"/>
    <n v="603"/>
    <n v="201"/>
    <n v="201"/>
    <n v="201"/>
    <n v="603"/>
    <n v="606"/>
    <n v="1008"/>
    <n v="1038"/>
    <n v="1007"/>
    <n v="5441"/>
    <x v="0"/>
    <x v="0"/>
    <n v="0.34418513000132167"/>
    <n v="4.3126177024482112E-2"/>
    <n v="0"/>
    <n v="0"/>
  </r>
  <r>
    <n v="189"/>
    <x v="2"/>
    <s v="Odisha"/>
    <s v="Dhenkanal"/>
    <n v="8451"/>
    <x v="1"/>
    <n v="233"/>
    <n v="233"/>
    <n v="233"/>
    <n v="699"/>
    <n v="233"/>
    <n v="233"/>
    <n v="233"/>
    <n v="699"/>
    <n v="233"/>
    <n v="233"/>
    <n v="233"/>
    <n v="699"/>
    <n v="233"/>
    <n v="233"/>
    <n v="232"/>
    <n v="698"/>
    <n v="230"/>
    <n v="231"/>
    <n v="231"/>
    <n v="692"/>
    <n v="699"/>
    <n v="1162"/>
    <n v="1400"/>
    <n v="1162"/>
    <n v="6282"/>
    <x v="0"/>
    <x v="0"/>
    <n v="7.051006553897543E-2"/>
    <n v="1.7423703990868171E-2"/>
    <n v="0"/>
    <n v="0"/>
  </r>
  <r>
    <n v="190"/>
    <x v="2"/>
    <s v="Odisha"/>
    <s v="Rourkela"/>
    <n v="37201"/>
    <x v="1"/>
    <n v="470"/>
    <n v="470"/>
    <n v="470"/>
    <n v="1410"/>
    <n v="470"/>
    <n v="470"/>
    <n v="469"/>
    <n v="1409"/>
    <n v="469"/>
    <n v="469"/>
    <n v="469"/>
    <n v="1407"/>
    <n v="468"/>
    <n v="468"/>
    <n v="468"/>
    <n v="1404"/>
    <n v="467"/>
    <n v="467"/>
    <n v="467"/>
    <n v="1401"/>
    <n v="1410"/>
    <n v="2344"/>
    <n v="2068"/>
    <n v="2343"/>
    <n v="12661"/>
    <x v="0"/>
    <x v="0"/>
    <n v="0.66693925003216892"/>
    <n v="0"/>
    <n v="0"/>
    <n v="0"/>
  </r>
  <r>
    <n v="191"/>
    <x v="2"/>
    <s v="Odisha"/>
    <s v="Rourkela"/>
    <n v="8665"/>
    <x v="0"/>
    <n v="194"/>
    <n v="194"/>
    <n v="194"/>
    <n v="582"/>
    <n v="194"/>
    <n v="192"/>
    <n v="182"/>
    <n v="568"/>
    <n v="182"/>
    <n v="182"/>
    <n v="182"/>
    <n v="546"/>
    <n v="182"/>
    <n v="182"/>
    <n v="182"/>
    <n v="546"/>
    <n v="182"/>
    <n v="182"/>
    <n v="182"/>
    <n v="546"/>
    <n v="582"/>
    <n v="934"/>
    <n v="971"/>
    <n v="922"/>
    <n v="5030"/>
    <x v="0"/>
    <x v="0"/>
    <n v="0.22220304706720451"/>
    <e v="#N/A"/>
    <n v="0"/>
    <n v="0"/>
  </r>
  <r>
    <n v="192"/>
    <x v="2"/>
    <s v="Odisha"/>
    <s v="Sambalpur"/>
    <n v="7745"/>
    <x v="1"/>
    <n v="233"/>
    <n v="233"/>
    <n v="233"/>
    <n v="699"/>
    <n v="233"/>
    <n v="233"/>
    <n v="233"/>
    <n v="699"/>
    <n v="232"/>
    <n v="232"/>
    <n v="232"/>
    <n v="696"/>
    <n v="232"/>
    <n v="231"/>
    <n v="231"/>
    <n v="694"/>
    <n v="231"/>
    <n v="231"/>
    <n v="231"/>
    <n v="693"/>
    <n v="699"/>
    <n v="1161"/>
    <n v="1157"/>
    <n v="1160"/>
    <n v="6269"/>
    <x v="0"/>
    <x v="0"/>
    <n v="0.13281217685489"/>
    <n v="0"/>
    <n v="0"/>
    <n v="0"/>
  </r>
  <r>
    <n v="193"/>
    <x v="2"/>
    <s v="Odisha"/>
    <s v="Sambalpur"/>
    <n v="781"/>
    <x v="1"/>
    <n v="231"/>
    <n v="230"/>
    <n v="230"/>
    <n v="691"/>
    <n v="230"/>
    <n v="229"/>
    <n v="229"/>
    <n v="688"/>
    <n v="229"/>
    <n v="229"/>
    <n v="229"/>
    <n v="687"/>
    <n v="228"/>
    <n v="227"/>
    <n v="227"/>
    <n v="682"/>
    <n v="226"/>
    <n v="225"/>
    <n v="225"/>
    <n v="676"/>
    <n v="691"/>
    <n v="1143"/>
    <n v="1595"/>
    <n v="1140"/>
    <n v="6172"/>
    <x v="0"/>
    <x v="0"/>
    <n v="0.5676908511893618"/>
    <n v="5.1172659759373379E-2"/>
    <n v="0"/>
    <n v="0"/>
  </r>
  <r>
    <n v="194"/>
    <x v="4"/>
    <s v="Punjab"/>
    <s v="Amritsar"/>
    <n v="1118"/>
    <x v="1"/>
    <n v="686"/>
    <n v="685"/>
    <n v="685"/>
    <n v="2056"/>
    <n v="685"/>
    <n v="685"/>
    <n v="685"/>
    <n v="2055"/>
    <n v="685"/>
    <n v="685"/>
    <n v="685"/>
    <n v="2055"/>
    <n v="685"/>
    <n v="685"/>
    <n v="685"/>
    <n v="2055"/>
    <n v="685"/>
    <n v="685"/>
    <n v="685"/>
    <n v="2055"/>
    <n v="2056"/>
    <n v="3425"/>
    <n v="4120"/>
    <n v="3425"/>
    <n v="18497"/>
    <x v="0"/>
    <x v="1"/>
    <n v="0.77763103335844619"/>
    <n v="0"/>
    <n v="0"/>
    <n v="0"/>
  </r>
  <r>
    <n v="195"/>
    <x v="4"/>
    <s v="Punjab"/>
    <s v="Bathinda"/>
    <n v="8571"/>
    <x v="1"/>
    <n v="1380"/>
    <n v="1380"/>
    <n v="1380"/>
    <n v="4140"/>
    <n v="1380"/>
    <n v="1380"/>
    <n v="1380"/>
    <n v="4140"/>
    <n v="1380"/>
    <n v="1380"/>
    <n v="1380"/>
    <n v="4140"/>
    <n v="1380"/>
    <n v="1380"/>
    <n v="1380"/>
    <n v="4140"/>
    <n v="1379"/>
    <n v="1380"/>
    <n v="1380"/>
    <n v="4139"/>
    <n v="4140"/>
    <n v="6899"/>
    <n v="5650"/>
    <n v="6900"/>
    <n v="37259"/>
    <x v="0"/>
    <x v="0"/>
    <n v="0.98829586354940402"/>
    <n v="2.0431780239793595E-2"/>
    <n v="0"/>
    <n v="0"/>
  </r>
  <r>
    <n v="196"/>
    <x v="4"/>
    <s v="Punjab"/>
    <s v="Jalandhar"/>
    <n v="24264"/>
    <x v="0"/>
    <n v="130"/>
    <n v="130"/>
    <n v="130"/>
    <n v="390"/>
    <n v="130"/>
    <n v="130"/>
    <n v="130"/>
    <n v="390"/>
    <n v="130"/>
    <n v="130"/>
    <n v="130"/>
    <n v="390"/>
    <n v="130"/>
    <n v="130"/>
    <n v="130"/>
    <n v="390"/>
    <n v="130"/>
    <n v="130"/>
    <n v="130"/>
    <n v="390"/>
    <n v="390"/>
    <n v="650"/>
    <n v="770"/>
    <n v="650"/>
    <n v="3510"/>
    <x v="0"/>
    <x v="0"/>
    <n v="0.78290064456125452"/>
    <n v="3.7069726390114736E-2"/>
    <n v="0"/>
    <n v="0"/>
  </r>
  <r>
    <n v="197"/>
    <x v="4"/>
    <s v="Punjab"/>
    <s v="Ludhiana"/>
    <n v="15008"/>
    <x v="0"/>
    <n v="250"/>
    <n v="250"/>
    <n v="250"/>
    <n v="750"/>
    <n v="250"/>
    <n v="250"/>
    <n v="250"/>
    <n v="750"/>
    <n v="250"/>
    <n v="250"/>
    <n v="250"/>
    <n v="750"/>
    <n v="250"/>
    <n v="250"/>
    <n v="250"/>
    <n v="750"/>
    <n v="250"/>
    <n v="250"/>
    <n v="250"/>
    <n v="750"/>
    <n v="750"/>
    <n v="1250"/>
    <n v="1490"/>
    <n v="1250"/>
    <n v="6750"/>
    <x v="0"/>
    <x v="0"/>
    <n v="0.1121745961173416"/>
    <n v="1.9770452795856954E-2"/>
    <n v="0"/>
    <n v="0"/>
  </r>
  <r>
    <n v="198"/>
    <x v="4"/>
    <s v="Punjab"/>
    <s v="Mohali"/>
    <n v="63"/>
    <x v="0"/>
    <n v="490"/>
    <n v="490"/>
    <n v="490"/>
    <n v="1470"/>
    <n v="490"/>
    <n v="490"/>
    <n v="490"/>
    <n v="1470"/>
    <n v="490"/>
    <n v="490"/>
    <n v="490"/>
    <n v="1470"/>
    <n v="490"/>
    <n v="490"/>
    <n v="490"/>
    <n v="1470"/>
    <n v="490"/>
    <n v="490"/>
    <n v="490"/>
    <n v="1470"/>
    <n v="1470"/>
    <n v="2450"/>
    <n v="2090"/>
    <n v="2450"/>
    <n v="13230"/>
    <x v="1"/>
    <x v="1"/>
    <n v="0.28854195588493736"/>
    <n v="0"/>
    <n v="1"/>
    <n v="0"/>
  </r>
  <r>
    <n v="199"/>
    <x v="4"/>
    <s v="Punjab"/>
    <s v="Pathankot"/>
    <n v="141"/>
    <x v="0"/>
    <n v="130"/>
    <n v="130"/>
    <n v="130"/>
    <n v="390"/>
    <n v="130"/>
    <n v="130"/>
    <n v="130"/>
    <n v="390"/>
    <n v="130"/>
    <n v="130"/>
    <n v="130"/>
    <n v="390"/>
    <n v="130"/>
    <n v="130"/>
    <n v="130"/>
    <n v="390"/>
    <n v="130"/>
    <n v="130"/>
    <n v="130"/>
    <n v="390"/>
    <n v="390"/>
    <n v="650"/>
    <n v="1210"/>
    <n v="650"/>
    <n v="3510"/>
    <x v="1"/>
    <x v="1"/>
    <n v="0.96229223428750721"/>
    <n v="5.8884826648298277E-2"/>
    <n v="0"/>
    <n v="0"/>
  </r>
  <r>
    <n v="200"/>
    <x v="4"/>
    <s v="Punjab"/>
    <s v="Patiala"/>
    <n v="9529"/>
    <x v="1"/>
    <n v="690"/>
    <n v="690"/>
    <n v="690"/>
    <n v="2070"/>
    <n v="690"/>
    <n v="690"/>
    <n v="690"/>
    <n v="2070"/>
    <n v="690"/>
    <n v="690"/>
    <n v="690"/>
    <n v="2070"/>
    <n v="690"/>
    <n v="690"/>
    <n v="690"/>
    <n v="2070"/>
    <n v="690"/>
    <n v="690"/>
    <n v="690"/>
    <n v="2070"/>
    <n v="2070"/>
    <n v="3450"/>
    <n v="3080"/>
    <n v="3450"/>
    <n v="18630"/>
    <x v="0"/>
    <x v="0"/>
    <n v="0.49835616985630637"/>
    <n v="0"/>
    <n v="0"/>
    <n v="0"/>
  </r>
  <r>
    <n v="201"/>
    <x v="4"/>
    <s v="Punjab"/>
    <s v="Phagwara"/>
    <n v="16596"/>
    <x v="0"/>
    <n v="320"/>
    <n v="320"/>
    <n v="320"/>
    <n v="960"/>
    <n v="320"/>
    <n v="320"/>
    <n v="320"/>
    <n v="960"/>
    <n v="320"/>
    <n v="320"/>
    <n v="320"/>
    <n v="960"/>
    <n v="320"/>
    <n v="320"/>
    <n v="320"/>
    <n v="960"/>
    <n v="320"/>
    <n v="320"/>
    <n v="320"/>
    <n v="960"/>
    <n v="960"/>
    <n v="1600"/>
    <n v="1744"/>
    <n v="1600"/>
    <n v="8640"/>
    <x v="0"/>
    <x v="0"/>
    <n v="0.4497167892232824"/>
    <n v="3.5868424122244252E-2"/>
    <n v="0"/>
    <n v="0"/>
  </r>
  <r>
    <n v="202"/>
    <x v="4"/>
    <s v="Rajasthan"/>
    <s v="Ajmer"/>
    <n v="37406"/>
    <x v="1"/>
    <n v="467"/>
    <n v="464"/>
    <n v="464"/>
    <n v="1395"/>
    <n v="464"/>
    <n v="464"/>
    <n v="464"/>
    <n v="1392"/>
    <n v="464"/>
    <n v="464"/>
    <n v="464"/>
    <n v="1392"/>
    <n v="464"/>
    <n v="464"/>
    <n v="464"/>
    <n v="1392"/>
    <n v="464"/>
    <n v="464"/>
    <n v="464"/>
    <n v="1392"/>
    <n v="1395"/>
    <n v="2320"/>
    <n v="2048"/>
    <n v="2320"/>
    <n v="12534"/>
    <x v="0"/>
    <x v="0"/>
    <n v="5.7208425219451464E-2"/>
    <n v="3.113941967445152E-2"/>
    <n v="0"/>
    <n v="0"/>
  </r>
  <r>
    <n v="203"/>
    <x v="4"/>
    <s v="Rajasthan"/>
    <s v="Bikaner"/>
    <n v="33978"/>
    <x v="0"/>
    <n v="196"/>
    <n v="192"/>
    <n v="192"/>
    <n v="580"/>
    <n v="192"/>
    <n v="192"/>
    <n v="192"/>
    <n v="576"/>
    <n v="192"/>
    <n v="192"/>
    <n v="192"/>
    <n v="576"/>
    <n v="192"/>
    <n v="192"/>
    <n v="192"/>
    <n v="576"/>
    <n v="192"/>
    <n v="192"/>
    <n v="192"/>
    <n v="576"/>
    <n v="580"/>
    <n v="960"/>
    <n v="1232"/>
    <n v="960"/>
    <n v="5192"/>
    <x v="1"/>
    <x v="1"/>
    <n v="9.6574553706316846E-2"/>
    <n v="7.2115384615384609E-2"/>
    <n v="0"/>
    <n v="0"/>
  </r>
  <r>
    <n v="204"/>
    <x v="4"/>
    <s v="Rajasthan"/>
    <s v="Bikaner"/>
    <n v="33977"/>
    <x v="1"/>
    <n v="464"/>
    <n v="464"/>
    <n v="464"/>
    <n v="1392"/>
    <n v="464"/>
    <n v="464"/>
    <n v="464"/>
    <n v="1392"/>
    <n v="464"/>
    <n v="464"/>
    <n v="464"/>
    <n v="1392"/>
    <n v="464"/>
    <n v="464"/>
    <n v="464"/>
    <n v="1392"/>
    <n v="464"/>
    <n v="464"/>
    <n v="464"/>
    <n v="1392"/>
    <n v="1392"/>
    <n v="2320"/>
    <n v="2230"/>
    <n v="2320"/>
    <n v="12528"/>
    <x v="0"/>
    <x v="1"/>
    <n v="0.90550002183968759"/>
    <n v="0"/>
    <n v="0"/>
    <n v="0"/>
  </r>
  <r>
    <n v="205"/>
    <x v="4"/>
    <s v="Rajasthan"/>
    <s v="Jaipur"/>
    <n v="8450"/>
    <x v="0"/>
    <n v="374"/>
    <n v="374"/>
    <n v="374"/>
    <n v="1122"/>
    <n v="374"/>
    <n v="374"/>
    <n v="374"/>
    <n v="1122"/>
    <n v="374"/>
    <n v="374"/>
    <n v="374"/>
    <n v="1122"/>
    <n v="374"/>
    <n v="374"/>
    <n v="374"/>
    <n v="1122"/>
    <n v="374"/>
    <n v="374"/>
    <n v="374"/>
    <n v="1122"/>
    <n v="1122"/>
    <n v="1870"/>
    <n v="2355"/>
    <n v="1870"/>
    <n v="10098"/>
    <x v="0"/>
    <x v="0"/>
    <n v="7.4812320466797089E-2"/>
    <n v="1.6196186193688067E-2"/>
    <n v="0"/>
    <n v="0"/>
  </r>
  <r>
    <n v="206"/>
    <x v="4"/>
    <s v="Rajasthan"/>
    <s v="Jaipur"/>
    <n v="15822"/>
    <x v="0"/>
    <n v="859"/>
    <n v="859"/>
    <n v="859"/>
    <n v="2577"/>
    <n v="859"/>
    <n v="859"/>
    <n v="859"/>
    <n v="2577"/>
    <n v="859"/>
    <n v="859"/>
    <n v="859"/>
    <n v="2577"/>
    <n v="859"/>
    <n v="859"/>
    <n v="859"/>
    <n v="2577"/>
    <n v="859"/>
    <n v="859"/>
    <n v="859"/>
    <n v="2577"/>
    <n v="2577"/>
    <n v="4295"/>
    <n v="4143"/>
    <n v="4295"/>
    <n v="23193"/>
    <x v="1"/>
    <x v="1"/>
    <n v="0.36286194262315274"/>
    <n v="1.7699115044247787E-2"/>
    <n v="0"/>
    <n v="0"/>
  </r>
  <r>
    <n v="207"/>
    <x v="4"/>
    <s v="Rajasthan"/>
    <s v="Jaipur"/>
    <n v="33035"/>
    <x v="0"/>
    <n v="708"/>
    <n v="707"/>
    <n v="707"/>
    <n v="2122"/>
    <n v="707"/>
    <n v="707"/>
    <n v="707"/>
    <n v="2121"/>
    <n v="707"/>
    <n v="707"/>
    <n v="707"/>
    <n v="2121"/>
    <n v="707"/>
    <n v="707"/>
    <n v="707"/>
    <n v="2121"/>
    <n v="707"/>
    <n v="707"/>
    <n v="707"/>
    <n v="2121"/>
    <n v="2122"/>
    <n v="3535"/>
    <n v="3737"/>
    <n v="3535"/>
    <n v="19091"/>
    <x v="0"/>
    <x v="0"/>
    <n v="0.52990082838167252"/>
    <n v="0.18205804749340371"/>
    <n v="0"/>
    <n v="0"/>
  </r>
  <r>
    <n v="208"/>
    <x v="4"/>
    <s v="Rajasthan"/>
    <s v="Jaipur"/>
    <n v="14449"/>
    <x v="0"/>
    <n v="909"/>
    <n v="909"/>
    <n v="909"/>
    <n v="2727"/>
    <n v="909"/>
    <n v="909"/>
    <n v="909"/>
    <n v="2727"/>
    <n v="909"/>
    <n v="909"/>
    <n v="909"/>
    <n v="2727"/>
    <n v="909"/>
    <n v="909"/>
    <n v="909"/>
    <n v="2727"/>
    <n v="909"/>
    <n v="909"/>
    <n v="909"/>
    <n v="2727"/>
    <n v="2727"/>
    <n v="4545"/>
    <n v="3833"/>
    <n v="4545"/>
    <n v="24543"/>
    <x v="1"/>
    <x v="0"/>
    <n v="0.69027893878016389"/>
    <n v="3.8850799869409078E-2"/>
    <n v="0"/>
    <n v="0"/>
  </r>
  <r>
    <n v="209"/>
    <x v="4"/>
    <s v="Rajasthan"/>
    <s v="Jaipur"/>
    <n v="10624"/>
    <x v="0"/>
    <n v="197"/>
    <n v="197"/>
    <n v="197"/>
    <n v="591"/>
    <n v="197"/>
    <n v="197"/>
    <n v="197"/>
    <n v="591"/>
    <n v="197"/>
    <n v="197"/>
    <n v="197"/>
    <n v="591"/>
    <n v="197"/>
    <n v="197"/>
    <n v="197"/>
    <n v="591"/>
    <n v="197"/>
    <n v="197"/>
    <n v="197"/>
    <n v="591"/>
    <n v="591"/>
    <n v="985"/>
    <n v="1102"/>
    <n v="985"/>
    <n v="5319"/>
    <x v="0"/>
    <x v="1"/>
    <n v="0.21645808421748303"/>
    <n v="6.8504913653277363E-2"/>
    <n v="0"/>
    <n v="0"/>
  </r>
  <r>
    <n v="210"/>
    <x v="4"/>
    <s v="Rajasthan"/>
    <s v="Jaipur"/>
    <n v="30255"/>
    <x v="0"/>
    <n v="314"/>
    <n v="314"/>
    <n v="314"/>
    <n v="942"/>
    <n v="314"/>
    <n v="314"/>
    <n v="314"/>
    <n v="942"/>
    <n v="314"/>
    <n v="314"/>
    <n v="314"/>
    <n v="942"/>
    <n v="314"/>
    <n v="314"/>
    <n v="314"/>
    <n v="942"/>
    <n v="314"/>
    <n v="314"/>
    <n v="314"/>
    <n v="942"/>
    <n v="942"/>
    <n v="1570"/>
    <n v="1600"/>
    <n v="1570"/>
    <n v="8478"/>
    <x v="0"/>
    <x v="0"/>
    <n v="7.9848668607906514E-2"/>
    <n v="4.6969088719389804E-2"/>
    <n v="0"/>
    <n v="0"/>
  </r>
  <r>
    <n v="211"/>
    <x v="4"/>
    <s v="Rajasthan"/>
    <s v="Jaipur"/>
    <n v="33996"/>
    <x v="0"/>
    <n v="344"/>
    <n v="344"/>
    <n v="344"/>
    <n v="1032"/>
    <n v="344"/>
    <n v="344"/>
    <n v="344"/>
    <n v="1032"/>
    <n v="344"/>
    <n v="344"/>
    <n v="344"/>
    <n v="1032"/>
    <n v="344"/>
    <n v="344"/>
    <n v="344"/>
    <n v="1032"/>
    <n v="344"/>
    <n v="344"/>
    <n v="344"/>
    <n v="1032"/>
    <n v="1032"/>
    <n v="1720"/>
    <n v="1824"/>
    <n v="1720"/>
    <n v="9288"/>
    <x v="1"/>
    <x v="1"/>
    <n v="0.21438482913156365"/>
    <n v="7.0848501820218429E-2"/>
    <n v="0"/>
    <n v="0"/>
  </r>
  <r>
    <n v="212"/>
    <x v="4"/>
    <s v="Rajasthan"/>
    <s v="Jaipur"/>
    <n v="1275"/>
    <x v="0"/>
    <n v="448"/>
    <n v="448"/>
    <n v="448"/>
    <n v="1344"/>
    <n v="448"/>
    <n v="448"/>
    <n v="448"/>
    <n v="1344"/>
    <n v="448"/>
    <n v="448"/>
    <n v="448"/>
    <n v="1344"/>
    <n v="448"/>
    <n v="448"/>
    <n v="448"/>
    <n v="1344"/>
    <n v="448"/>
    <n v="448"/>
    <n v="448"/>
    <n v="1344"/>
    <n v="1344"/>
    <n v="2240"/>
    <n v="2075"/>
    <n v="2240"/>
    <n v="12096"/>
    <x v="1"/>
    <x v="0"/>
    <n v="0.44370365850451288"/>
    <n v="5.7814190755912813E-2"/>
    <n v="0"/>
    <n v="0"/>
  </r>
  <r>
    <n v="213"/>
    <x v="4"/>
    <s v="Rajasthan"/>
    <s v="Jodhpur"/>
    <n v="24271"/>
    <x v="0"/>
    <n v="283"/>
    <n v="283"/>
    <n v="283"/>
    <n v="849"/>
    <n v="283"/>
    <n v="283"/>
    <n v="283"/>
    <n v="849"/>
    <n v="283"/>
    <n v="283"/>
    <n v="283"/>
    <n v="849"/>
    <n v="283"/>
    <n v="283"/>
    <n v="283"/>
    <n v="849"/>
    <n v="281"/>
    <n v="283"/>
    <n v="283"/>
    <n v="847"/>
    <n v="849"/>
    <n v="1413"/>
    <n v="1385"/>
    <n v="1415"/>
    <n v="7639"/>
    <x v="1"/>
    <x v="0"/>
    <n v="0.67524047731832615"/>
    <n v="3.1185031185031187E-2"/>
    <n v="0"/>
    <n v="0"/>
  </r>
  <r>
    <n v="214"/>
    <x v="4"/>
    <s v="Rajasthan"/>
    <s v="Jodhpur"/>
    <n v="38693"/>
    <x v="0"/>
    <n v="253"/>
    <n v="253"/>
    <n v="253"/>
    <n v="759"/>
    <n v="253"/>
    <n v="253"/>
    <n v="253"/>
    <n v="759"/>
    <n v="253"/>
    <n v="253"/>
    <n v="253"/>
    <n v="759"/>
    <n v="253"/>
    <n v="253"/>
    <n v="253"/>
    <n v="759"/>
    <n v="253"/>
    <n v="253"/>
    <n v="253"/>
    <n v="759"/>
    <n v="759"/>
    <n v="1265"/>
    <n v="1204"/>
    <n v="1265"/>
    <n v="6831"/>
    <x v="1"/>
    <x v="1"/>
    <n v="0.61713953671768207"/>
    <n v="2.462121212121212E-2"/>
    <n v="0"/>
    <n v="0"/>
  </r>
  <r>
    <n v="215"/>
    <x v="4"/>
    <s v="Rajasthan"/>
    <s v="Jodhpur"/>
    <n v="38692"/>
    <x v="0"/>
    <n v="192"/>
    <n v="192"/>
    <n v="192"/>
    <n v="576"/>
    <n v="192"/>
    <n v="192"/>
    <n v="192"/>
    <n v="576"/>
    <n v="192"/>
    <n v="192"/>
    <n v="192"/>
    <n v="576"/>
    <n v="192"/>
    <n v="192"/>
    <n v="192"/>
    <n v="576"/>
    <n v="192"/>
    <n v="192"/>
    <n v="192"/>
    <n v="576"/>
    <n v="576"/>
    <n v="960"/>
    <n v="950"/>
    <n v="960"/>
    <n v="5184"/>
    <x v="1"/>
    <x v="0"/>
    <n v="0.31549605351298127"/>
    <n v="0.27612412919569346"/>
    <n v="0"/>
    <n v="0"/>
  </r>
  <r>
    <n v="216"/>
    <x v="4"/>
    <s v="Rajasthan"/>
    <s v="Jodhpur"/>
    <n v="7850"/>
    <x v="0"/>
    <n v="182"/>
    <n v="182"/>
    <n v="182"/>
    <n v="546"/>
    <n v="182"/>
    <n v="182"/>
    <n v="182"/>
    <n v="546"/>
    <n v="182"/>
    <n v="182"/>
    <n v="182"/>
    <n v="546"/>
    <n v="182"/>
    <n v="182"/>
    <n v="182"/>
    <n v="546"/>
    <n v="182"/>
    <n v="182"/>
    <n v="182"/>
    <n v="546"/>
    <n v="546"/>
    <n v="910"/>
    <n v="890"/>
    <n v="910"/>
    <n v="4914"/>
    <x v="0"/>
    <x v="0"/>
    <n v="0.92013494216349889"/>
    <e v="#N/A"/>
    <n v="0"/>
    <n v="0"/>
  </r>
  <r>
    <n v="217"/>
    <x v="4"/>
    <s v="Rajasthan"/>
    <s v="Jodhpur"/>
    <n v="14452"/>
    <x v="0"/>
    <n v="162"/>
    <n v="162"/>
    <n v="162"/>
    <n v="486"/>
    <n v="162"/>
    <n v="162"/>
    <n v="162"/>
    <n v="486"/>
    <n v="162"/>
    <n v="162"/>
    <n v="162"/>
    <n v="486"/>
    <n v="162"/>
    <n v="162"/>
    <n v="162"/>
    <n v="486"/>
    <n v="162"/>
    <n v="162"/>
    <n v="162"/>
    <n v="486"/>
    <n v="486"/>
    <n v="810"/>
    <n v="1342"/>
    <n v="810"/>
    <n v="4374"/>
    <x v="1"/>
    <x v="0"/>
    <n v="1.2853764237607979E-2"/>
    <n v="5.3906723198061779E-2"/>
    <n v="0"/>
    <n v="0"/>
  </r>
  <r>
    <n v="218"/>
    <x v="4"/>
    <s v="Rajasthan"/>
    <s v="Jodhpur"/>
    <n v="8449"/>
    <x v="1"/>
    <n v="694"/>
    <n v="694"/>
    <n v="694"/>
    <n v="2082"/>
    <n v="694"/>
    <n v="694"/>
    <n v="694"/>
    <n v="2082"/>
    <n v="694"/>
    <n v="694"/>
    <n v="694"/>
    <n v="2082"/>
    <n v="694"/>
    <n v="694"/>
    <n v="694"/>
    <n v="2082"/>
    <n v="694"/>
    <n v="694"/>
    <n v="694"/>
    <n v="2082"/>
    <n v="2082"/>
    <n v="3470"/>
    <n v="3130"/>
    <n v="3470"/>
    <n v="18738"/>
    <x v="0"/>
    <x v="0"/>
    <n v="0.55776736547040096"/>
    <n v="1.8496010146382708E-2"/>
    <n v="0"/>
    <n v="0"/>
  </r>
  <r>
    <n v="219"/>
    <x v="4"/>
    <s v="Rajasthan"/>
    <s v="Kota"/>
    <n v="8683"/>
    <x v="0"/>
    <n v="354"/>
    <n v="354"/>
    <n v="354"/>
    <n v="1062"/>
    <n v="354"/>
    <n v="354"/>
    <n v="354"/>
    <n v="1062"/>
    <n v="354"/>
    <n v="354"/>
    <n v="354"/>
    <n v="1062"/>
    <n v="354"/>
    <n v="354"/>
    <n v="354"/>
    <n v="1062"/>
    <n v="354"/>
    <n v="354"/>
    <n v="354"/>
    <n v="1062"/>
    <n v="1062"/>
    <n v="1770"/>
    <n v="1831"/>
    <n v="1770"/>
    <n v="9558"/>
    <x v="0"/>
    <x v="0"/>
    <n v="0.86186646521776988"/>
    <e v="#N/A"/>
    <n v="0"/>
    <n v="0"/>
  </r>
  <r>
    <n v="220"/>
    <x v="4"/>
    <s v="Rajasthan"/>
    <s v="Kota"/>
    <n v="15789"/>
    <x v="0"/>
    <n v="415"/>
    <n v="415"/>
    <n v="415"/>
    <n v="1245"/>
    <n v="415"/>
    <n v="415"/>
    <n v="415"/>
    <n v="1245"/>
    <n v="415"/>
    <n v="415"/>
    <n v="415"/>
    <n v="1245"/>
    <n v="415"/>
    <n v="415"/>
    <n v="415"/>
    <n v="1245"/>
    <n v="415"/>
    <n v="415"/>
    <n v="415"/>
    <n v="1245"/>
    <n v="1245"/>
    <n v="2075"/>
    <n v="2075"/>
    <n v="2075"/>
    <n v="11205"/>
    <x v="1"/>
    <x v="0"/>
    <n v="0.89590288049576905"/>
    <n v="4.2505413425294729E-2"/>
    <n v="0"/>
    <n v="0"/>
  </r>
  <r>
    <n v="221"/>
    <x v="4"/>
    <s v="Rajasthan"/>
    <s v="Kota"/>
    <n v="33986"/>
    <x v="0"/>
    <n v="415"/>
    <n v="415"/>
    <n v="415"/>
    <n v="1245"/>
    <n v="415"/>
    <n v="415"/>
    <n v="415"/>
    <n v="1245"/>
    <n v="415"/>
    <n v="415"/>
    <n v="415"/>
    <n v="1245"/>
    <n v="415"/>
    <n v="415"/>
    <n v="415"/>
    <n v="1245"/>
    <n v="415"/>
    <n v="415"/>
    <n v="415"/>
    <n v="1245"/>
    <n v="1245"/>
    <n v="2075"/>
    <n v="2357"/>
    <n v="2075"/>
    <n v="11205"/>
    <x v="1"/>
    <x v="1"/>
    <n v="0.33710831114611739"/>
    <n v="1.9989479221462388E-2"/>
    <n v="0"/>
    <n v="0"/>
  </r>
  <r>
    <n v="222"/>
    <x v="4"/>
    <s v="Rajasthan"/>
    <s v="Kota"/>
    <n v="8556"/>
    <x v="0"/>
    <n v="697"/>
    <n v="697"/>
    <n v="697"/>
    <n v="2091"/>
    <n v="697"/>
    <n v="697"/>
    <n v="697"/>
    <n v="2091"/>
    <n v="697"/>
    <n v="697"/>
    <n v="697"/>
    <n v="2091"/>
    <n v="697"/>
    <n v="697"/>
    <n v="697"/>
    <n v="2091"/>
    <n v="697"/>
    <n v="697"/>
    <n v="697"/>
    <n v="2091"/>
    <n v="2091"/>
    <n v="3485"/>
    <n v="2971"/>
    <n v="3485"/>
    <n v="18819"/>
    <x v="1"/>
    <x v="1"/>
    <n v="0.75056912278738641"/>
    <e v="#N/A"/>
    <n v="0"/>
    <n v="0"/>
  </r>
  <r>
    <n v="223"/>
    <x v="4"/>
    <s v="Rajasthan"/>
    <s v="Sikar"/>
    <n v="3104"/>
    <x v="0"/>
    <n v="183"/>
    <n v="183"/>
    <n v="183"/>
    <n v="549"/>
    <n v="183"/>
    <n v="183"/>
    <n v="183"/>
    <n v="549"/>
    <n v="183"/>
    <n v="183"/>
    <n v="183"/>
    <n v="549"/>
    <n v="183"/>
    <n v="183"/>
    <n v="183"/>
    <n v="549"/>
    <n v="183"/>
    <n v="183"/>
    <n v="183"/>
    <n v="549"/>
    <n v="549"/>
    <n v="915"/>
    <n v="955"/>
    <n v="915"/>
    <n v="4941"/>
    <x v="1"/>
    <x v="1"/>
    <n v="0.13991568082372297"/>
    <e v="#N/A"/>
    <n v="0"/>
    <n v="0"/>
  </r>
  <r>
    <n v="224"/>
    <x v="4"/>
    <s v="Rajasthan"/>
    <s v="Sikar"/>
    <n v="1788"/>
    <x v="0"/>
    <n v="223"/>
    <n v="223"/>
    <n v="223"/>
    <n v="669"/>
    <n v="223"/>
    <n v="223"/>
    <n v="223"/>
    <n v="669"/>
    <n v="223"/>
    <n v="223"/>
    <n v="223"/>
    <n v="669"/>
    <n v="223"/>
    <n v="223"/>
    <n v="223"/>
    <n v="669"/>
    <n v="223"/>
    <n v="223"/>
    <n v="223"/>
    <n v="669"/>
    <n v="669"/>
    <n v="1115"/>
    <n v="1236"/>
    <n v="1115"/>
    <n v="6021"/>
    <x v="0"/>
    <x v="1"/>
    <n v="0.84054218404155967"/>
    <n v="2.2464698331193838E-2"/>
    <n v="0"/>
    <n v="0"/>
  </r>
  <r>
    <n v="225"/>
    <x v="4"/>
    <s v="Rajasthan"/>
    <s v="Sikar"/>
    <n v="33439"/>
    <x v="0"/>
    <n v="344"/>
    <n v="344"/>
    <n v="344"/>
    <n v="1032"/>
    <n v="344"/>
    <n v="344"/>
    <n v="344"/>
    <n v="1032"/>
    <n v="344"/>
    <n v="344"/>
    <n v="344"/>
    <n v="1032"/>
    <n v="344"/>
    <n v="344"/>
    <n v="344"/>
    <n v="1032"/>
    <n v="344"/>
    <n v="344"/>
    <n v="344"/>
    <n v="1032"/>
    <n v="1032"/>
    <n v="1720"/>
    <n v="1629"/>
    <n v="1720"/>
    <n v="9288"/>
    <x v="1"/>
    <x v="1"/>
    <n v="0.44609950801151887"/>
    <n v="2.0483193277310924E-2"/>
    <n v="0"/>
    <n v="0"/>
  </r>
  <r>
    <n v="226"/>
    <x v="4"/>
    <s v="Rajasthan"/>
    <s v="Sikar"/>
    <n v="2999"/>
    <x v="0"/>
    <n v="253"/>
    <n v="253"/>
    <n v="253"/>
    <n v="759"/>
    <n v="253"/>
    <n v="253"/>
    <n v="253"/>
    <n v="759"/>
    <n v="253"/>
    <n v="253"/>
    <n v="253"/>
    <n v="759"/>
    <n v="253"/>
    <n v="253"/>
    <n v="253"/>
    <n v="759"/>
    <n v="253"/>
    <n v="253"/>
    <n v="253"/>
    <n v="759"/>
    <n v="759"/>
    <n v="1265"/>
    <n v="1235"/>
    <n v="1265"/>
    <n v="6831"/>
    <x v="1"/>
    <x v="1"/>
    <n v="0.52428226468193595"/>
    <e v="#N/A"/>
    <n v="0"/>
    <n v="0"/>
  </r>
  <r>
    <n v="227"/>
    <x v="4"/>
    <s v="Rajasthan"/>
    <s v="Sikar"/>
    <n v="2161"/>
    <x v="0"/>
    <n v="223"/>
    <n v="223"/>
    <n v="223"/>
    <n v="669"/>
    <n v="223"/>
    <n v="223"/>
    <n v="223"/>
    <n v="669"/>
    <n v="223"/>
    <n v="223"/>
    <n v="223"/>
    <n v="669"/>
    <n v="223"/>
    <n v="223"/>
    <n v="223"/>
    <n v="669"/>
    <n v="223"/>
    <n v="223"/>
    <n v="223"/>
    <n v="669"/>
    <n v="669"/>
    <n v="1115"/>
    <n v="1195"/>
    <n v="1115"/>
    <n v="6021"/>
    <x v="0"/>
    <x v="0"/>
    <n v="0.37524975142230699"/>
    <n v="3.7761524068719167E-2"/>
    <n v="0"/>
    <n v="0"/>
  </r>
  <r>
    <n v="228"/>
    <x v="4"/>
    <s v="Rajasthan"/>
    <s v="Sikar"/>
    <n v="33440"/>
    <x v="0"/>
    <n v="303"/>
    <n v="303"/>
    <n v="303"/>
    <n v="909"/>
    <n v="303"/>
    <n v="303"/>
    <n v="303"/>
    <n v="909"/>
    <n v="303"/>
    <n v="303"/>
    <n v="303"/>
    <n v="909"/>
    <n v="303"/>
    <n v="303"/>
    <n v="303"/>
    <n v="909"/>
    <n v="301"/>
    <n v="303"/>
    <n v="303"/>
    <n v="907"/>
    <n v="909"/>
    <n v="1513"/>
    <n v="1676"/>
    <n v="1515"/>
    <n v="8179"/>
    <x v="1"/>
    <x v="0"/>
    <n v="0.61284848172288442"/>
    <n v="3.6736437419906023E-2"/>
    <n v="0"/>
    <n v="0"/>
  </r>
  <r>
    <n v="229"/>
    <x v="4"/>
    <s v="Rajasthan"/>
    <s v="Sikar"/>
    <n v="2163"/>
    <x v="1"/>
    <n v="464"/>
    <n v="464"/>
    <n v="464"/>
    <n v="1392"/>
    <n v="464"/>
    <n v="464"/>
    <n v="464"/>
    <n v="1392"/>
    <n v="464"/>
    <n v="464"/>
    <n v="464"/>
    <n v="1392"/>
    <n v="464"/>
    <n v="464"/>
    <n v="464"/>
    <n v="1392"/>
    <n v="464"/>
    <n v="464"/>
    <n v="464"/>
    <n v="1392"/>
    <n v="1392"/>
    <n v="2320"/>
    <n v="2065"/>
    <n v="2320"/>
    <n v="12528"/>
    <x v="0"/>
    <x v="1"/>
    <n v="0.69246637023860813"/>
    <n v="0"/>
    <n v="0"/>
    <n v="0"/>
  </r>
  <r>
    <n v="230"/>
    <x v="4"/>
    <s v="Rajasthan"/>
    <s v="Udaipur"/>
    <n v="33435"/>
    <x v="0"/>
    <n v="209"/>
    <n v="209"/>
    <n v="209"/>
    <n v="627"/>
    <n v="209"/>
    <n v="209"/>
    <n v="209"/>
    <n v="627"/>
    <n v="209"/>
    <n v="209"/>
    <n v="209"/>
    <n v="627"/>
    <n v="209"/>
    <n v="209"/>
    <n v="209"/>
    <n v="627"/>
    <n v="209"/>
    <n v="209"/>
    <n v="209"/>
    <n v="627"/>
    <n v="627"/>
    <n v="1045"/>
    <n v="1300"/>
    <n v="1045"/>
    <n v="5643"/>
    <x v="0"/>
    <x v="1"/>
    <n v="0.13480473905478485"/>
    <n v="2.3355417252225123E-2"/>
    <n v="0"/>
    <n v="0"/>
  </r>
  <r>
    <n v="231"/>
    <x v="4"/>
    <s v="Rajasthan"/>
    <s v="Udaipur"/>
    <n v="7994"/>
    <x v="1"/>
    <n v="464"/>
    <n v="464"/>
    <n v="464"/>
    <n v="1392"/>
    <n v="464"/>
    <n v="464"/>
    <n v="464"/>
    <n v="1392"/>
    <n v="464"/>
    <n v="464"/>
    <n v="464"/>
    <n v="1392"/>
    <n v="464"/>
    <n v="464"/>
    <n v="464"/>
    <n v="1392"/>
    <n v="464"/>
    <n v="464"/>
    <n v="464"/>
    <n v="1392"/>
    <n v="1392"/>
    <n v="2320"/>
    <n v="2574"/>
    <n v="2320"/>
    <n v="12528"/>
    <x v="0"/>
    <x v="1"/>
    <n v="0.53583554643469444"/>
    <e v="#N/A"/>
    <n v="0"/>
    <n v="0"/>
  </r>
  <r>
    <n v="232"/>
    <x v="1"/>
    <s v="Tamil Nadu"/>
    <s v="Chennai"/>
    <n v="8042"/>
    <x v="2"/>
    <n v="718"/>
    <n v="718"/>
    <n v="718"/>
    <n v="2154"/>
    <n v="718"/>
    <n v="718"/>
    <n v="718"/>
    <n v="2154"/>
    <n v="718"/>
    <n v="718"/>
    <n v="718"/>
    <n v="2154"/>
    <n v="718"/>
    <n v="718"/>
    <n v="718"/>
    <n v="2154"/>
    <n v="718"/>
    <n v="718"/>
    <n v="717"/>
    <n v="2153"/>
    <n v="2154"/>
    <n v="3590"/>
    <n v="3207"/>
    <n v="3589"/>
    <n v="19385"/>
    <x v="1"/>
    <x v="0"/>
    <n v="0.89446986217163749"/>
    <e v="#N/A"/>
    <n v="0"/>
    <n v="1"/>
  </r>
  <r>
    <n v="233"/>
    <x v="1"/>
    <s v="Tamil Nadu"/>
    <s v="Coimbatore"/>
    <n v="12322"/>
    <x v="1"/>
    <n v="335"/>
    <n v="335"/>
    <n v="335"/>
    <n v="1005"/>
    <n v="335"/>
    <n v="335"/>
    <n v="334"/>
    <n v="1004"/>
    <n v="334"/>
    <n v="334"/>
    <n v="334"/>
    <n v="1002"/>
    <n v="334"/>
    <n v="334"/>
    <n v="334"/>
    <n v="1002"/>
    <n v="334"/>
    <n v="334"/>
    <n v="334"/>
    <n v="1002"/>
    <n v="1005"/>
    <n v="1672"/>
    <n v="1441"/>
    <n v="1671"/>
    <n v="9028"/>
    <x v="1"/>
    <x v="0"/>
    <n v="0.87960360565646878"/>
    <n v="0"/>
    <n v="0"/>
    <n v="0"/>
  </r>
  <r>
    <n v="234"/>
    <x v="1"/>
    <s v="Tamil Nadu"/>
    <s v="Madurai"/>
    <n v="8799"/>
    <x v="1"/>
    <n v="104"/>
    <n v="104"/>
    <n v="104"/>
    <n v="312"/>
    <n v="104"/>
    <n v="104"/>
    <n v="103"/>
    <n v="311"/>
    <n v="103"/>
    <n v="103"/>
    <n v="103"/>
    <n v="309"/>
    <n v="103"/>
    <n v="103"/>
    <n v="103"/>
    <n v="309"/>
    <n v="103"/>
    <n v="103"/>
    <n v="103"/>
    <n v="309"/>
    <n v="312"/>
    <n v="517"/>
    <n v="813"/>
    <n v="516"/>
    <n v="2791"/>
    <x v="0"/>
    <x v="0"/>
    <n v="0.12514978223411954"/>
    <n v="0"/>
    <n v="0"/>
    <n v="0"/>
  </r>
  <r>
    <n v="235"/>
    <x v="1"/>
    <s v="Tamil Nadu"/>
    <s v="Madurai"/>
    <n v="8763"/>
    <x v="1"/>
    <n v="400"/>
    <n v="400"/>
    <n v="400"/>
    <n v="1200"/>
    <n v="400"/>
    <n v="400"/>
    <n v="400"/>
    <n v="1200"/>
    <n v="400"/>
    <n v="400"/>
    <n v="400"/>
    <n v="1200"/>
    <n v="400"/>
    <n v="400"/>
    <n v="400"/>
    <n v="1200"/>
    <n v="400"/>
    <n v="400"/>
    <n v="400"/>
    <n v="1200"/>
    <n v="1200"/>
    <n v="2000"/>
    <n v="2055"/>
    <n v="2000"/>
    <n v="10800"/>
    <x v="0"/>
    <x v="1"/>
    <n v="0.1265530134723567"/>
    <n v="1.6760937319635232E-2"/>
    <n v="0"/>
    <n v="0"/>
  </r>
  <r>
    <n v="236"/>
    <x v="1"/>
    <s v="Tamil Nadu"/>
    <s v="Salem"/>
    <n v="2288"/>
    <x v="1"/>
    <n v="455"/>
    <n v="455"/>
    <n v="455"/>
    <n v="1365"/>
    <n v="455"/>
    <n v="455"/>
    <n v="455"/>
    <n v="1365"/>
    <n v="455"/>
    <n v="455"/>
    <n v="455"/>
    <n v="1365"/>
    <n v="455"/>
    <n v="455"/>
    <n v="455"/>
    <n v="1365"/>
    <n v="455"/>
    <n v="455"/>
    <n v="455"/>
    <n v="1365"/>
    <n v="1365"/>
    <n v="2275"/>
    <n v="2008"/>
    <n v="2275"/>
    <n v="12285"/>
    <x v="0"/>
    <x v="1"/>
    <n v="0.36045993670747734"/>
    <n v="0"/>
    <n v="0"/>
    <n v="0"/>
  </r>
  <r>
    <n v="237"/>
    <x v="1"/>
    <s v="Tamil Nadu"/>
    <s v="Salem"/>
    <n v="14458"/>
    <x v="1"/>
    <n v="189"/>
    <n v="188"/>
    <n v="188"/>
    <n v="565"/>
    <n v="188"/>
    <n v="188"/>
    <n v="188"/>
    <n v="564"/>
    <n v="188"/>
    <n v="188"/>
    <n v="188"/>
    <n v="564"/>
    <n v="188"/>
    <n v="188"/>
    <n v="188"/>
    <n v="564"/>
    <n v="188"/>
    <n v="188"/>
    <n v="188"/>
    <n v="564"/>
    <n v="565"/>
    <n v="940"/>
    <n v="1210"/>
    <n v="940"/>
    <n v="5078"/>
    <x v="0"/>
    <x v="1"/>
    <n v="2.929301544057572E-3"/>
    <n v="8.7091519902270181E-2"/>
    <n v="1"/>
    <n v="0"/>
  </r>
  <r>
    <n v="238"/>
    <x v="1"/>
    <s v="Tamil Nadu"/>
    <s v="Tiruchirappalli"/>
    <n v="38190"/>
    <x v="1"/>
    <n v="458"/>
    <n v="458"/>
    <n v="458"/>
    <n v="1374"/>
    <n v="458"/>
    <n v="458"/>
    <n v="458"/>
    <n v="1374"/>
    <n v="458"/>
    <n v="458"/>
    <n v="458"/>
    <n v="1374"/>
    <n v="458"/>
    <n v="458"/>
    <n v="458"/>
    <n v="1374"/>
    <n v="458"/>
    <n v="458"/>
    <n v="458"/>
    <n v="1374"/>
    <n v="1374"/>
    <n v="2290"/>
    <n v="2388"/>
    <n v="2290"/>
    <n v="12366"/>
    <x v="0"/>
    <x v="1"/>
    <n v="0.1538314633538691"/>
    <n v="0"/>
    <n v="0"/>
    <n v="0"/>
  </r>
  <r>
    <n v="239"/>
    <x v="1"/>
    <s v="Tamil Nadu"/>
    <s v="Tirunelveli"/>
    <n v="4815"/>
    <x v="1"/>
    <n v="556"/>
    <n v="556"/>
    <n v="556"/>
    <n v="1668"/>
    <n v="556"/>
    <n v="556"/>
    <n v="556"/>
    <n v="1668"/>
    <n v="556"/>
    <n v="556"/>
    <n v="556"/>
    <n v="1668"/>
    <n v="556"/>
    <n v="556"/>
    <n v="555"/>
    <n v="1667"/>
    <n v="555"/>
    <n v="555"/>
    <n v="555"/>
    <n v="1665"/>
    <n v="1668"/>
    <n v="2779"/>
    <n v="2681"/>
    <n v="2778"/>
    <n v="15007"/>
    <x v="1"/>
    <x v="1"/>
    <n v="7.5088412797619686E-2"/>
    <n v="0"/>
    <n v="0"/>
    <n v="0"/>
  </r>
  <r>
    <n v="240"/>
    <x v="1"/>
    <s v="Tamil Nadu"/>
    <s v="Vellore"/>
    <n v="8756"/>
    <x v="1"/>
    <n v="458"/>
    <n v="458"/>
    <n v="458"/>
    <n v="1374"/>
    <n v="458"/>
    <n v="458"/>
    <n v="458"/>
    <n v="1374"/>
    <n v="458"/>
    <n v="458"/>
    <n v="458"/>
    <n v="1374"/>
    <n v="458"/>
    <n v="458"/>
    <n v="458"/>
    <n v="1374"/>
    <n v="458"/>
    <n v="458"/>
    <n v="458"/>
    <n v="1374"/>
    <n v="1374"/>
    <n v="2290"/>
    <n v="2762"/>
    <n v="2290"/>
    <n v="12366"/>
    <x v="0"/>
    <x v="0"/>
    <n v="0.44350159333754446"/>
    <e v="#N/A"/>
    <n v="0"/>
    <n v="0"/>
  </r>
  <r>
    <n v="241"/>
    <x v="1"/>
    <s v="Telangana"/>
    <s v="Hyderabad"/>
    <n v="2400"/>
    <x v="1"/>
    <n v="930"/>
    <n v="930"/>
    <n v="930"/>
    <n v="2790"/>
    <n v="930"/>
    <n v="930"/>
    <n v="930"/>
    <n v="2790"/>
    <n v="930"/>
    <n v="930"/>
    <n v="930"/>
    <n v="2790"/>
    <n v="930"/>
    <n v="930"/>
    <n v="930"/>
    <n v="2790"/>
    <n v="930"/>
    <n v="930"/>
    <n v="930"/>
    <n v="2790"/>
    <n v="2790"/>
    <n v="4650"/>
    <n v="4326"/>
    <n v="4650"/>
    <n v="25110"/>
    <x v="0"/>
    <x v="1"/>
    <n v="0.14174520556998615"/>
    <n v="0.14746794713133013"/>
    <n v="0"/>
    <n v="0"/>
  </r>
  <r>
    <n v="242"/>
    <x v="1"/>
    <s v="Telangana"/>
    <s v="Hyderabad"/>
    <n v="37512"/>
    <x v="1"/>
    <n v="606"/>
    <n v="606"/>
    <n v="606"/>
    <n v="1818"/>
    <n v="605"/>
    <n v="605"/>
    <n v="605"/>
    <n v="1815"/>
    <n v="605"/>
    <n v="605"/>
    <n v="605"/>
    <n v="1815"/>
    <n v="605"/>
    <n v="605"/>
    <n v="605"/>
    <n v="1815"/>
    <n v="605"/>
    <n v="605"/>
    <n v="605"/>
    <n v="1815"/>
    <n v="1818"/>
    <n v="3026"/>
    <n v="3350"/>
    <n v="3026"/>
    <n v="16341"/>
    <x v="1"/>
    <x v="1"/>
    <n v="0.90016576691813655"/>
    <e v="#N/A"/>
    <n v="0"/>
    <n v="0"/>
  </r>
  <r>
    <n v="243"/>
    <x v="1"/>
    <s v="Telangana"/>
    <s v="Hyderabad"/>
    <n v="30318"/>
    <x v="1"/>
    <n v="930"/>
    <n v="930"/>
    <n v="930"/>
    <n v="2790"/>
    <n v="930"/>
    <n v="930"/>
    <n v="930"/>
    <n v="2790"/>
    <n v="930"/>
    <n v="930"/>
    <n v="930"/>
    <n v="2790"/>
    <n v="930"/>
    <n v="930"/>
    <n v="930"/>
    <n v="2790"/>
    <n v="930"/>
    <n v="930"/>
    <n v="930"/>
    <n v="2790"/>
    <n v="2790"/>
    <n v="4650"/>
    <n v="4650"/>
    <n v="4650"/>
    <n v="25110"/>
    <x v="0"/>
    <x v="0"/>
    <n v="0.39876510144799282"/>
    <n v="0"/>
    <n v="0"/>
    <n v="0"/>
  </r>
  <r>
    <n v="244"/>
    <x v="1"/>
    <s v="Telangana"/>
    <s v="Hyderabad"/>
    <n v="7996"/>
    <x v="1"/>
    <n v="930"/>
    <n v="930"/>
    <n v="930"/>
    <n v="2790"/>
    <n v="930"/>
    <n v="930"/>
    <n v="930"/>
    <n v="2790"/>
    <n v="930"/>
    <n v="930"/>
    <n v="930"/>
    <n v="2790"/>
    <n v="930"/>
    <n v="930"/>
    <n v="930"/>
    <n v="2790"/>
    <n v="929"/>
    <n v="930"/>
    <n v="930"/>
    <n v="2789"/>
    <n v="2790"/>
    <n v="4649"/>
    <n v="4403"/>
    <n v="4650"/>
    <n v="25109"/>
    <x v="1"/>
    <x v="1"/>
    <n v="0.25482643798276683"/>
    <e v="#N/A"/>
    <n v="0"/>
    <n v="0"/>
  </r>
  <r>
    <n v="245"/>
    <x v="1"/>
    <s v="Telangana"/>
    <s v="Karimnagar"/>
    <n v="2033"/>
    <x v="1"/>
    <n v="684"/>
    <n v="683"/>
    <n v="683"/>
    <n v="2050"/>
    <n v="683"/>
    <n v="683"/>
    <n v="683"/>
    <n v="2049"/>
    <n v="683"/>
    <n v="683"/>
    <n v="683"/>
    <n v="2049"/>
    <n v="683"/>
    <n v="683"/>
    <n v="683"/>
    <n v="2049"/>
    <n v="683"/>
    <n v="683"/>
    <n v="683"/>
    <n v="2049"/>
    <n v="2050"/>
    <n v="3415"/>
    <n v="2883"/>
    <n v="3415"/>
    <n v="18443"/>
    <x v="0"/>
    <x v="0"/>
    <n v="0.86346282344237257"/>
    <n v="7.5249981753156697E-2"/>
    <n v="0"/>
    <n v="0"/>
  </r>
  <r>
    <n v="246"/>
    <x v="1"/>
    <s v="Telangana"/>
    <s v="Khammam"/>
    <n v="8027"/>
    <x v="0"/>
    <n v="151"/>
    <n v="151"/>
    <n v="151"/>
    <n v="453"/>
    <n v="151"/>
    <n v="151"/>
    <n v="151"/>
    <n v="453"/>
    <n v="151"/>
    <n v="151"/>
    <n v="151"/>
    <n v="453"/>
    <n v="151"/>
    <n v="151"/>
    <n v="151"/>
    <n v="453"/>
    <n v="151"/>
    <n v="151"/>
    <n v="151"/>
    <n v="453"/>
    <n v="453"/>
    <n v="755"/>
    <n v="837"/>
    <n v="755"/>
    <n v="4077"/>
    <x v="0"/>
    <x v="1"/>
    <n v="0.67309144796789067"/>
    <n v="1.713120859304559E-2"/>
    <n v="0"/>
    <n v="0"/>
  </r>
  <r>
    <n v="247"/>
    <x v="1"/>
    <s v="Telangana"/>
    <s v="Warangal"/>
    <n v="9070"/>
    <x v="1"/>
    <n v="233"/>
    <n v="233"/>
    <n v="233"/>
    <n v="699"/>
    <n v="233"/>
    <n v="233"/>
    <n v="233"/>
    <n v="699"/>
    <n v="233"/>
    <n v="233"/>
    <n v="233"/>
    <n v="699"/>
    <n v="233"/>
    <n v="233"/>
    <n v="233"/>
    <n v="699"/>
    <n v="233"/>
    <n v="233"/>
    <n v="233"/>
    <n v="699"/>
    <n v="699"/>
    <n v="1165"/>
    <n v="1157"/>
    <n v="1165"/>
    <n v="6291"/>
    <x v="0"/>
    <x v="0"/>
    <n v="0.30954966938334783"/>
    <n v="0"/>
    <n v="0"/>
    <n v="0"/>
  </r>
  <r>
    <n v="248"/>
    <x v="1"/>
    <s v="Telangana"/>
    <s v="Warangal"/>
    <n v="35626"/>
    <x v="0"/>
    <n v="225"/>
    <n v="225"/>
    <n v="225"/>
    <n v="675"/>
    <n v="225"/>
    <n v="225"/>
    <n v="225"/>
    <n v="675"/>
    <n v="225"/>
    <n v="225"/>
    <n v="225"/>
    <n v="675"/>
    <n v="225"/>
    <n v="225"/>
    <n v="225"/>
    <n v="675"/>
    <n v="225"/>
    <n v="225"/>
    <n v="225"/>
    <n v="675"/>
    <n v="675"/>
    <n v="1125"/>
    <n v="978"/>
    <n v="1125"/>
    <n v="6075"/>
    <x v="0"/>
    <x v="1"/>
    <n v="0.18365801630942347"/>
    <e v="#N/A"/>
    <n v="0"/>
    <n v="0"/>
  </r>
  <r>
    <n v="249"/>
    <x v="0"/>
    <s v="Tripura"/>
    <s v="Agartala"/>
    <n v="33430"/>
    <x v="0"/>
    <n v="79"/>
    <n v="78"/>
    <n v="78"/>
    <n v="235"/>
    <n v="78"/>
    <n v="78"/>
    <n v="78"/>
    <n v="234"/>
    <n v="78"/>
    <n v="78"/>
    <n v="78"/>
    <n v="234"/>
    <n v="78"/>
    <n v="78"/>
    <n v="78"/>
    <n v="234"/>
    <n v="0"/>
    <n v="0"/>
    <n v="0"/>
    <n v="0"/>
    <n v="235"/>
    <n v="312"/>
    <n v="697"/>
    <n v="312"/>
    <n v="1874"/>
    <x v="0"/>
    <x v="0"/>
    <n v="2.541873277543838E-2"/>
    <n v="2.690909090909091E-2"/>
    <n v="0"/>
    <n v="0"/>
  </r>
  <r>
    <n v="250"/>
    <x v="4"/>
    <s v="Uttar Pradesh"/>
    <s v="Ghaziabad"/>
    <n v="7954"/>
    <x v="1"/>
    <n v="463"/>
    <n v="463"/>
    <n v="463"/>
    <n v="1389"/>
    <n v="463"/>
    <n v="463"/>
    <n v="463"/>
    <n v="1389"/>
    <n v="463"/>
    <n v="463"/>
    <n v="463"/>
    <n v="1389"/>
    <n v="463"/>
    <n v="463"/>
    <n v="463"/>
    <n v="1389"/>
    <n v="462"/>
    <n v="463"/>
    <n v="463"/>
    <n v="1388"/>
    <n v="1389"/>
    <n v="2314"/>
    <n v="2280"/>
    <n v="2315"/>
    <n v="12500"/>
    <x v="0"/>
    <x v="0"/>
    <n v="0.99477444097070655"/>
    <n v="3.3584049818689697E-2"/>
    <n v="1"/>
    <n v="0"/>
  </r>
  <r>
    <n v="251"/>
    <x v="4"/>
    <s v="Uttar Pradesh"/>
    <s v="Ghaziabad"/>
    <n v="38141"/>
    <x v="0"/>
    <n v="428"/>
    <n v="428"/>
    <n v="428"/>
    <n v="1284"/>
    <n v="428"/>
    <n v="428"/>
    <n v="428"/>
    <n v="1284"/>
    <n v="428"/>
    <n v="428"/>
    <n v="428"/>
    <n v="1284"/>
    <n v="428"/>
    <n v="428"/>
    <n v="428"/>
    <n v="1284"/>
    <n v="428"/>
    <n v="428"/>
    <n v="428"/>
    <n v="1284"/>
    <n v="1284"/>
    <n v="2140"/>
    <n v="2176"/>
    <n v="2140"/>
    <n v="11556"/>
    <x v="0"/>
    <x v="0"/>
    <n v="0.98579576342424446"/>
    <n v="3.981717862142798E-2"/>
    <n v="1"/>
    <n v="0"/>
  </r>
  <r>
    <n v="252"/>
    <x v="4"/>
    <s v="Uttar Pradesh"/>
    <s v="Meerut"/>
    <n v="8580"/>
    <x v="1"/>
    <n v="464"/>
    <n v="464"/>
    <n v="464"/>
    <n v="1392"/>
    <n v="464"/>
    <n v="464"/>
    <n v="464"/>
    <n v="1392"/>
    <n v="464"/>
    <n v="464"/>
    <n v="464"/>
    <n v="1392"/>
    <n v="464"/>
    <n v="464"/>
    <n v="464"/>
    <n v="1392"/>
    <n v="464"/>
    <n v="464"/>
    <n v="464"/>
    <n v="1392"/>
    <n v="1392"/>
    <n v="2320"/>
    <n v="3336"/>
    <n v="2320"/>
    <n v="12528"/>
    <x v="0"/>
    <x v="0"/>
    <n v="0.99158312883228861"/>
    <n v="0"/>
    <n v="0"/>
    <n v="0"/>
  </r>
  <r>
    <n v="253"/>
    <x v="4"/>
    <s v="Uttar Pradesh"/>
    <s v="Noida"/>
    <n v="9105"/>
    <x v="2"/>
    <n v="1480"/>
    <n v="1480"/>
    <n v="1480"/>
    <n v="4440"/>
    <n v="1480"/>
    <n v="1480"/>
    <n v="1480"/>
    <n v="4440"/>
    <n v="1480"/>
    <n v="1480"/>
    <n v="1480"/>
    <n v="4440"/>
    <n v="1480"/>
    <n v="1480"/>
    <n v="1480"/>
    <n v="4440"/>
    <n v="1480"/>
    <n v="1480"/>
    <n v="1480"/>
    <n v="4440"/>
    <n v="4440"/>
    <n v="7400"/>
    <n v="7575"/>
    <n v="7400"/>
    <n v="39960"/>
    <x v="0"/>
    <x v="0"/>
    <n v="0.59487841829628363"/>
    <n v="2.2343732013353285E-2"/>
    <n v="0"/>
    <n v="0"/>
  </r>
  <r>
    <n v="254"/>
    <x v="4"/>
    <s v="Uttar Pradesh"/>
    <s v="Noida"/>
    <n v="8031"/>
    <x v="2"/>
    <n v="1655"/>
    <n v="1655"/>
    <n v="1655"/>
    <n v="4965"/>
    <n v="1655"/>
    <n v="1655"/>
    <n v="1655"/>
    <n v="4965"/>
    <n v="1655"/>
    <n v="1655"/>
    <n v="1655"/>
    <n v="4965"/>
    <n v="1655"/>
    <n v="1655"/>
    <n v="1655"/>
    <n v="4965"/>
    <n v="1654"/>
    <n v="1655"/>
    <n v="1655"/>
    <n v="4964"/>
    <n v="4965"/>
    <n v="8274"/>
    <n v="6843"/>
    <n v="8275"/>
    <n v="44684"/>
    <x v="1"/>
    <x v="0"/>
    <n v="0.59092332334221453"/>
    <n v="3.1915932733162941E-2"/>
    <n v="0"/>
    <n v="0"/>
  </r>
  <r>
    <n v="255"/>
    <x v="4"/>
    <s v="Uttar Pradesh"/>
    <s v="Agra"/>
    <n v="7964"/>
    <x v="0"/>
    <n v="223"/>
    <n v="223"/>
    <n v="223"/>
    <n v="669"/>
    <n v="223"/>
    <n v="223"/>
    <n v="223"/>
    <n v="669"/>
    <n v="223"/>
    <n v="223"/>
    <n v="223"/>
    <n v="669"/>
    <n v="223"/>
    <n v="223"/>
    <n v="223"/>
    <n v="669"/>
    <n v="223"/>
    <n v="223"/>
    <n v="223"/>
    <n v="669"/>
    <n v="669"/>
    <n v="1115"/>
    <n v="1317"/>
    <n v="1115"/>
    <n v="6021"/>
    <x v="1"/>
    <x v="0"/>
    <n v="0.32022560291747026"/>
    <n v="4.5871382138987775E-2"/>
    <n v="0"/>
    <n v="0"/>
  </r>
  <r>
    <n v="256"/>
    <x v="4"/>
    <s v="Uttar Pradesh"/>
    <s v="Agra"/>
    <n v="9417"/>
    <x v="0"/>
    <n v="425"/>
    <n v="425"/>
    <n v="425"/>
    <n v="1275"/>
    <n v="425"/>
    <n v="425"/>
    <n v="425"/>
    <n v="1275"/>
    <n v="425"/>
    <n v="425"/>
    <n v="425"/>
    <n v="1275"/>
    <n v="425"/>
    <n v="425"/>
    <n v="425"/>
    <n v="1275"/>
    <n v="425"/>
    <n v="425"/>
    <n v="425"/>
    <n v="1275"/>
    <n v="1275"/>
    <n v="2125"/>
    <n v="2370"/>
    <n v="2125"/>
    <n v="11475"/>
    <x v="1"/>
    <x v="0"/>
    <n v="0.89790409725129172"/>
    <n v="1.9101716641113931E-2"/>
    <n v="0"/>
    <n v="0"/>
  </r>
  <r>
    <n v="257"/>
    <x v="4"/>
    <s v="Uttar Pradesh"/>
    <s v="Agra"/>
    <n v="8827"/>
    <x v="1"/>
    <n v="670"/>
    <n v="670"/>
    <n v="670"/>
    <n v="2010"/>
    <n v="670"/>
    <n v="670"/>
    <n v="670"/>
    <n v="2010"/>
    <n v="670"/>
    <n v="670"/>
    <n v="670"/>
    <n v="2010"/>
    <n v="670"/>
    <n v="670"/>
    <n v="670"/>
    <n v="2010"/>
    <n v="670"/>
    <n v="670"/>
    <n v="670"/>
    <n v="2010"/>
    <n v="2010"/>
    <n v="3350"/>
    <n v="2900"/>
    <n v="3350"/>
    <n v="18090"/>
    <x v="1"/>
    <x v="0"/>
    <n v="0.53540449268157275"/>
    <n v="2.8826871657754011E-2"/>
    <n v="0"/>
    <n v="0"/>
  </r>
  <r>
    <n v="258"/>
    <x v="4"/>
    <s v="Uttar Pradesh"/>
    <s v="Agra"/>
    <n v="9208"/>
    <x v="1"/>
    <n v="220"/>
    <n v="220"/>
    <n v="220"/>
    <n v="660"/>
    <n v="220"/>
    <n v="220"/>
    <n v="220"/>
    <n v="660"/>
    <n v="220"/>
    <n v="220"/>
    <n v="220"/>
    <n v="660"/>
    <n v="220"/>
    <n v="220"/>
    <n v="220"/>
    <n v="660"/>
    <n v="220"/>
    <n v="220"/>
    <n v="220"/>
    <n v="660"/>
    <n v="660"/>
    <n v="1100"/>
    <n v="1100"/>
    <n v="1100"/>
    <n v="5940"/>
    <x v="1"/>
    <x v="0"/>
    <n v="0.39295768029898592"/>
    <n v="2.4936987631991023E-2"/>
    <n v="0"/>
    <n v="0"/>
  </r>
  <r>
    <n v="259"/>
    <x v="4"/>
    <s v="Uttar Pradesh"/>
    <s v="Agra"/>
    <n v="25730"/>
    <x v="1"/>
    <n v="220"/>
    <n v="220"/>
    <n v="220"/>
    <n v="660"/>
    <n v="220"/>
    <n v="220"/>
    <n v="220"/>
    <n v="660"/>
    <n v="220"/>
    <n v="220"/>
    <n v="220"/>
    <n v="660"/>
    <n v="220"/>
    <n v="220"/>
    <n v="220"/>
    <n v="660"/>
    <n v="220"/>
    <n v="220"/>
    <n v="220"/>
    <n v="660"/>
    <n v="660"/>
    <n v="1100"/>
    <n v="1100"/>
    <n v="1100"/>
    <n v="5940"/>
    <x v="1"/>
    <x v="0"/>
    <n v="0.14708510390116469"/>
    <n v="5.1061579987199825E-2"/>
    <n v="0"/>
    <n v="0"/>
  </r>
  <r>
    <n v="260"/>
    <x v="4"/>
    <s v="Uttar Pradesh"/>
    <s v="Agra"/>
    <n v="8754"/>
    <x v="1"/>
    <n v="220"/>
    <n v="220"/>
    <n v="220"/>
    <n v="660"/>
    <n v="220"/>
    <n v="220"/>
    <n v="220"/>
    <n v="660"/>
    <n v="220"/>
    <n v="220"/>
    <n v="220"/>
    <n v="660"/>
    <n v="220"/>
    <n v="220"/>
    <n v="220"/>
    <n v="660"/>
    <n v="220"/>
    <n v="220"/>
    <n v="220"/>
    <n v="660"/>
    <n v="660"/>
    <n v="1100"/>
    <n v="1160"/>
    <n v="1100"/>
    <n v="5940"/>
    <x v="1"/>
    <x v="0"/>
    <n v="0.36154730071391816"/>
    <n v="2.980404777229493E-2"/>
    <n v="0"/>
    <n v="0"/>
  </r>
  <r>
    <n v="261"/>
    <x v="4"/>
    <s v="Uttar Pradesh"/>
    <s v="Agra"/>
    <n v="11398"/>
    <x v="0"/>
    <n v="282"/>
    <n v="280"/>
    <n v="280"/>
    <n v="842"/>
    <n v="280"/>
    <n v="280"/>
    <n v="280"/>
    <n v="840"/>
    <n v="280"/>
    <n v="280"/>
    <n v="280"/>
    <n v="840"/>
    <n v="280"/>
    <n v="280"/>
    <n v="280"/>
    <n v="840"/>
    <n v="280"/>
    <n v="280"/>
    <n v="280"/>
    <n v="840"/>
    <n v="842"/>
    <n v="1400"/>
    <n v="1570"/>
    <n v="1400"/>
    <n v="7564"/>
    <x v="1"/>
    <x v="0"/>
    <n v="0.30635374194660536"/>
    <e v="#N/A"/>
    <n v="0"/>
    <n v="0"/>
  </r>
  <r>
    <n v="262"/>
    <x v="5"/>
    <s v="Uttar Pradesh"/>
    <s v="Aligarh"/>
    <n v="7974"/>
    <x v="1"/>
    <n v="450"/>
    <n v="450"/>
    <n v="450"/>
    <n v="1350"/>
    <n v="450"/>
    <n v="450"/>
    <n v="450"/>
    <n v="1350"/>
    <n v="450"/>
    <n v="450"/>
    <n v="450"/>
    <n v="1350"/>
    <n v="450"/>
    <n v="450"/>
    <n v="450"/>
    <n v="1350"/>
    <n v="450"/>
    <n v="450"/>
    <n v="450"/>
    <n v="1350"/>
    <n v="1350"/>
    <n v="2250"/>
    <n v="1965"/>
    <n v="2250"/>
    <n v="12150"/>
    <x v="0"/>
    <x v="0"/>
    <n v="0.44131281524478316"/>
    <n v="2.2235005752588664E-2"/>
    <n v="0"/>
    <n v="0"/>
  </r>
  <r>
    <n v="263"/>
    <x v="5"/>
    <s v="Uttar Pradesh"/>
    <s v="Ayodhya"/>
    <n v="33958"/>
    <x v="0"/>
    <n v="165"/>
    <n v="165"/>
    <n v="165"/>
    <n v="495"/>
    <n v="165"/>
    <n v="165"/>
    <n v="165"/>
    <n v="495"/>
    <n v="165"/>
    <n v="165"/>
    <n v="165"/>
    <n v="495"/>
    <n v="165"/>
    <n v="165"/>
    <n v="165"/>
    <n v="495"/>
    <n v="165"/>
    <n v="165"/>
    <n v="165"/>
    <n v="495"/>
    <n v="495"/>
    <n v="825"/>
    <n v="775"/>
    <n v="825"/>
    <n v="4455"/>
    <x v="0"/>
    <x v="0"/>
    <n v="0.59263253426948947"/>
    <n v="2.9411764705882353E-2"/>
    <n v="0"/>
    <n v="0"/>
  </r>
  <r>
    <n v="264"/>
    <x v="5"/>
    <s v="Uttar Pradesh"/>
    <s v="Ayodhya"/>
    <n v="37403"/>
    <x v="0"/>
    <n v="118"/>
    <n v="115"/>
    <n v="115"/>
    <n v="348"/>
    <n v="115"/>
    <n v="115"/>
    <n v="115"/>
    <n v="345"/>
    <n v="115"/>
    <n v="115"/>
    <n v="115"/>
    <n v="345"/>
    <n v="115"/>
    <n v="115"/>
    <n v="115"/>
    <n v="345"/>
    <n v="115"/>
    <n v="115"/>
    <n v="115"/>
    <n v="345"/>
    <n v="348"/>
    <n v="575"/>
    <n v="1355"/>
    <n v="575"/>
    <n v="3111"/>
    <x v="0"/>
    <x v="1"/>
    <n v="0.77445259457435334"/>
    <n v="2.224824355971897E-2"/>
    <n v="0"/>
    <n v="0"/>
  </r>
  <r>
    <n v="265"/>
    <x v="5"/>
    <s v="Uttar Pradesh"/>
    <s v="Bareilly"/>
    <n v="8030"/>
    <x v="1"/>
    <n v="895"/>
    <n v="895"/>
    <n v="895"/>
    <n v="2685"/>
    <n v="895"/>
    <n v="895"/>
    <n v="895"/>
    <n v="2685"/>
    <n v="895"/>
    <n v="895"/>
    <n v="895"/>
    <n v="2685"/>
    <n v="895"/>
    <n v="895"/>
    <n v="895"/>
    <n v="2685"/>
    <n v="895"/>
    <n v="895"/>
    <n v="895"/>
    <n v="2685"/>
    <n v="2685"/>
    <n v="4475"/>
    <n v="3682"/>
    <n v="4475"/>
    <n v="24165"/>
    <x v="0"/>
    <x v="1"/>
    <n v="0.9321852152516833"/>
    <n v="0"/>
    <n v="0"/>
    <n v="0"/>
  </r>
  <r>
    <n v="266"/>
    <x v="5"/>
    <s v="Uttar Pradesh"/>
    <s v="Bareilly"/>
    <n v="40041"/>
    <x v="0"/>
    <n v="102"/>
    <n v="102"/>
    <n v="102"/>
    <n v="306"/>
    <n v="102"/>
    <n v="102"/>
    <n v="102"/>
    <n v="306"/>
    <n v="102"/>
    <n v="102"/>
    <n v="102"/>
    <n v="306"/>
    <n v="102"/>
    <n v="102"/>
    <n v="102"/>
    <n v="306"/>
    <n v="102"/>
    <n v="102"/>
    <n v="102"/>
    <n v="306"/>
    <n v="306"/>
    <n v="510"/>
    <n v="583"/>
    <n v="510"/>
    <n v="2754"/>
    <x v="0"/>
    <x v="1"/>
    <n v="0.84201073155181327"/>
    <n v="1.7469140258427777E-2"/>
    <n v="0"/>
    <n v="0"/>
  </r>
  <r>
    <n v="267"/>
    <x v="5"/>
    <s v="Uttar Pradesh"/>
    <s v="Basti"/>
    <n v="8594"/>
    <x v="0"/>
    <n v="177"/>
    <n v="175"/>
    <n v="175"/>
    <n v="527"/>
    <n v="175"/>
    <n v="175"/>
    <n v="175"/>
    <n v="525"/>
    <n v="175"/>
    <n v="175"/>
    <n v="175"/>
    <n v="525"/>
    <n v="175"/>
    <n v="175"/>
    <n v="175"/>
    <n v="525"/>
    <n v="175"/>
    <n v="175"/>
    <n v="175"/>
    <n v="525"/>
    <n v="527"/>
    <n v="875"/>
    <n v="832"/>
    <n v="875"/>
    <n v="4729"/>
    <x v="0"/>
    <x v="1"/>
    <n v="0.35229427307870231"/>
    <n v="0"/>
    <n v="0"/>
    <n v="0"/>
  </r>
  <r>
    <n v="268"/>
    <x v="5"/>
    <s v="Uttar Pradesh"/>
    <s v="Ghazipur"/>
    <n v="8743"/>
    <x v="0"/>
    <n v="132"/>
    <n v="132"/>
    <n v="132"/>
    <n v="396"/>
    <n v="132"/>
    <n v="132"/>
    <n v="132"/>
    <n v="396"/>
    <n v="132"/>
    <n v="132"/>
    <n v="132"/>
    <n v="396"/>
    <n v="132"/>
    <n v="132"/>
    <n v="132"/>
    <n v="396"/>
    <n v="132"/>
    <n v="132"/>
    <n v="132"/>
    <n v="396"/>
    <n v="396"/>
    <n v="660"/>
    <n v="596"/>
    <n v="660"/>
    <n v="3564"/>
    <x v="1"/>
    <x v="1"/>
    <n v="0.15256321375476711"/>
    <n v="0"/>
    <n v="0"/>
    <n v="0"/>
  </r>
  <r>
    <n v="269"/>
    <x v="5"/>
    <s v="Uttar Pradesh"/>
    <s v="Ghazipur"/>
    <n v="8560"/>
    <x v="0"/>
    <n v="68"/>
    <n v="68"/>
    <n v="68"/>
    <n v="204"/>
    <n v="68"/>
    <n v="68"/>
    <n v="68"/>
    <n v="204"/>
    <n v="68"/>
    <n v="68"/>
    <n v="68"/>
    <n v="204"/>
    <n v="68"/>
    <n v="68"/>
    <n v="68"/>
    <n v="204"/>
    <n v="67"/>
    <n v="68"/>
    <n v="68"/>
    <n v="203"/>
    <n v="204"/>
    <n v="339"/>
    <n v="452"/>
    <n v="340"/>
    <n v="1835"/>
    <x v="0"/>
    <x v="1"/>
    <n v="0.9376358033499187"/>
    <n v="0"/>
    <n v="0"/>
    <n v="0"/>
  </r>
  <r>
    <n v="270"/>
    <x v="5"/>
    <s v="Uttar Pradesh"/>
    <s v="Ghazipur"/>
    <n v="7975"/>
    <x v="0"/>
    <n v="180"/>
    <n v="180"/>
    <n v="180"/>
    <n v="540"/>
    <n v="180"/>
    <n v="180"/>
    <n v="180"/>
    <n v="540"/>
    <n v="180"/>
    <n v="180"/>
    <n v="180"/>
    <n v="540"/>
    <n v="180"/>
    <n v="180"/>
    <n v="180"/>
    <n v="540"/>
    <n v="180"/>
    <n v="180"/>
    <n v="180"/>
    <n v="540"/>
    <n v="540"/>
    <n v="900"/>
    <n v="943"/>
    <n v="900"/>
    <n v="4860"/>
    <x v="0"/>
    <x v="0"/>
    <n v="0.84446975968084892"/>
    <n v="0"/>
    <n v="0"/>
    <n v="0"/>
  </r>
  <r>
    <n v="271"/>
    <x v="5"/>
    <s v="Uttar Pradesh"/>
    <s v="Gorakhpur"/>
    <n v="9349"/>
    <x v="0"/>
    <n v="223"/>
    <n v="223"/>
    <n v="223"/>
    <n v="669"/>
    <n v="223"/>
    <n v="223"/>
    <n v="223"/>
    <n v="669"/>
    <n v="223"/>
    <n v="223"/>
    <n v="223"/>
    <n v="669"/>
    <n v="223"/>
    <n v="223"/>
    <n v="223"/>
    <n v="669"/>
    <n v="223"/>
    <n v="223"/>
    <n v="223"/>
    <n v="669"/>
    <n v="669"/>
    <n v="1115"/>
    <n v="1072"/>
    <n v="1115"/>
    <n v="6021"/>
    <x v="0"/>
    <x v="1"/>
    <n v="0.79424909991528614"/>
    <n v="1.9705360283351465E-2"/>
    <n v="0"/>
    <n v="0"/>
  </r>
  <r>
    <n v="272"/>
    <x v="5"/>
    <s v="Uttar Pradesh"/>
    <s v="Gorakhpur"/>
    <n v="8753"/>
    <x v="0"/>
    <n v="180"/>
    <n v="180"/>
    <n v="180"/>
    <n v="540"/>
    <n v="180"/>
    <n v="180"/>
    <n v="180"/>
    <n v="540"/>
    <n v="180"/>
    <n v="180"/>
    <n v="180"/>
    <n v="540"/>
    <n v="180"/>
    <n v="180"/>
    <n v="180"/>
    <n v="540"/>
    <n v="180"/>
    <n v="180"/>
    <n v="180"/>
    <n v="540"/>
    <n v="540"/>
    <n v="900"/>
    <n v="975"/>
    <n v="900"/>
    <n v="4860"/>
    <x v="0"/>
    <x v="1"/>
    <n v="0.35081095206114865"/>
    <n v="0"/>
    <n v="0"/>
    <n v="0"/>
  </r>
  <r>
    <n v="273"/>
    <x v="5"/>
    <s v="Uttar Pradesh"/>
    <s v="Gorakhpur"/>
    <n v="8822"/>
    <x v="0"/>
    <n v="255"/>
    <n v="255"/>
    <n v="255"/>
    <n v="765"/>
    <n v="255"/>
    <n v="255"/>
    <n v="255"/>
    <n v="765"/>
    <n v="255"/>
    <n v="255"/>
    <n v="255"/>
    <n v="765"/>
    <n v="255"/>
    <n v="255"/>
    <n v="255"/>
    <n v="765"/>
    <n v="255"/>
    <n v="255"/>
    <n v="255"/>
    <n v="765"/>
    <n v="765"/>
    <n v="1275"/>
    <n v="1238"/>
    <n v="1275"/>
    <n v="6885"/>
    <x v="0"/>
    <x v="1"/>
    <n v="8.1882187974414711E-3"/>
    <e v="#N/A"/>
    <n v="0"/>
    <n v="0"/>
  </r>
  <r>
    <n v="274"/>
    <x v="5"/>
    <s v="Uttar Pradesh"/>
    <s v="Gorakhpur"/>
    <n v="9577"/>
    <x v="0"/>
    <n v="218"/>
    <n v="218"/>
    <n v="218"/>
    <n v="654"/>
    <n v="218"/>
    <n v="218"/>
    <n v="218"/>
    <n v="654"/>
    <n v="218"/>
    <n v="218"/>
    <n v="218"/>
    <n v="654"/>
    <n v="218"/>
    <n v="218"/>
    <n v="218"/>
    <n v="654"/>
    <n v="218"/>
    <n v="218"/>
    <n v="218"/>
    <n v="654"/>
    <n v="654"/>
    <n v="1090"/>
    <n v="1142"/>
    <n v="1090"/>
    <n v="5886"/>
    <x v="1"/>
    <x v="1"/>
    <n v="0.2760746551511295"/>
    <n v="1.5660989739652405E-2"/>
    <n v="0"/>
    <n v="0"/>
  </r>
  <r>
    <n v="275"/>
    <x v="5"/>
    <s v="Uttar Pradesh"/>
    <s v="Gorakhpur"/>
    <n v="8682"/>
    <x v="0"/>
    <n v="270"/>
    <n v="270"/>
    <n v="270"/>
    <n v="810"/>
    <n v="270"/>
    <n v="270"/>
    <n v="270"/>
    <n v="810"/>
    <n v="270"/>
    <n v="270"/>
    <n v="270"/>
    <n v="810"/>
    <n v="270"/>
    <n v="270"/>
    <n v="270"/>
    <n v="810"/>
    <n v="270"/>
    <n v="270"/>
    <n v="270"/>
    <n v="810"/>
    <n v="810"/>
    <n v="1350"/>
    <n v="1500"/>
    <n v="1350"/>
    <n v="7290"/>
    <x v="0"/>
    <x v="1"/>
    <n v="0.72243431985302753"/>
    <n v="1.9326628771316134E-2"/>
    <n v="0"/>
    <n v="0"/>
  </r>
  <r>
    <n v="276"/>
    <x v="5"/>
    <s v="Uttar Pradesh"/>
    <s v="Jhansi"/>
    <n v="2429"/>
    <x v="0"/>
    <n v="420"/>
    <n v="420"/>
    <n v="420"/>
    <n v="1260"/>
    <n v="420"/>
    <n v="420"/>
    <n v="420"/>
    <n v="1260"/>
    <n v="420"/>
    <n v="420"/>
    <n v="420"/>
    <n v="1260"/>
    <n v="420"/>
    <n v="420"/>
    <n v="420"/>
    <n v="1260"/>
    <n v="420"/>
    <n v="420"/>
    <n v="420"/>
    <n v="1260"/>
    <n v="1260"/>
    <n v="2100"/>
    <n v="1900"/>
    <n v="2100"/>
    <n v="11340"/>
    <x v="0"/>
    <x v="1"/>
    <n v="2.4547052453933071E-2"/>
    <n v="4.2698019801980201E-2"/>
    <n v="0"/>
    <n v="0"/>
  </r>
  <r>
    <n v="277"/>
    <x v="5"/>
    <s v="Uttar Pradesh"/>
    <s v="Jhansi"/>
    <n v="7944"/>
    <x v="1"/>
    <n v="220"/>
    <n v="220"/>
    <n v="220"/>
    <n v="660"/>
    <n v="220"/>
    <n v="220"/>
    <n v="220"/>
    <n v="660"/>
    <n v="220"/>
    <n v="220"/>
    <n v="220"/>
    <n v="660"/>
    <n v="220"/>
    <n v="220"/>
    <n v="220"/>
    <n v="660"/>
    <n v="220"/>
    <n v="220"/>
    <n v="220"/>
    <n v="660"/>
    <n v="660"/>
    <n v="1100"/>
    <n v="1055"/>
    <n v="1100"/>
    <n v="5940"/>
    <x v="0"/>
    <x v="0"/>
    <n v="0.19597542975489601"/>
    <n v="0"/>
    <n v="0"/>
    <n v="0"/>
  </r>
  <r>
    <n v="278"/>
    <x v="5"/>
    <s v="Uttar Pradesh"/>
    <s v="Jhansi"/>
    <n v="7732"/>
    <x v="0"/>
    <n v="175"/>
    <n v="175"/>
    <n v="175"/>
    <n v="525"/>
    <n v="175"/>
    <n v="175"/>
    <n v="175"/>
    <n v="525"/>
    <n v="175"/>
    <n v="175"/>
    <n v="175"/>
    <n v="525"/>
    <n v="175"/>
    <n v="175"/>
    <n v="175"/>
    <n v="525"/>
    <n v="175"/>
    <n v="175"/>
    <n v="175"/>
    <n v="525"/>
    <n v="525"/>
    <n v="875"/>
    <n v="923"/>
    <n v="875"/>
    <n v="4725"/>
    <x v="0"/>
    <x v="0"/>
    <n v="5.8984716909812773E-2"/>
    <n v="3.1962474091851205E-2"/>
    <n v="0"/>
    <n v="0"/>
  </r>
  <r>
    <n v="279"/>
    <x v="5"/>
    <s v="Uttar Pradesh"/>
    <s v="Kanpur"/>
    <n v="12176"/>
    <x v="0"/>
    <n v="223"/>
    <n v="223"/>
    <n v="223"/>
    <n v="669"/>
    <n v="223"/>
    <n v="223"/>
    <n v="223"/>
    <n v="669"/>
    <n v="223"/>
    <n v="223"/>
    <n v="223"/>
    <n v="669"/>
    <n v="223"/>
    <n v="223"/>
    <n v="223"/>
    <n v="669"/>
    <n v="223"/>
    <n v="223"/>
    <n v="223"/>
    <n v="669"/>
    <n v="669"/>
    <n v="1115"/>
    <n v="1113"/>
    <n v="1115"/>
    <n v="6021"/>
    <x v="1"/>
    <x v="0"/>
    <n v="0.87495238071859105"/>
    <n v="0"/>
    <n v="0"/>
    <n v="0"/>
  </r>
  <r>
    <n v="280"/>
    <x v="5"/>
    <s v="Uttar Pradesh"/>
    <s v="Kanpur"/>
    <n v="11394"/>
    <x v="1"/>
    <n v="221"/>
    <n v="221"/>
    <n v="221"/>
    <n v="663"/>
    <n v="221"/>
    <n v="221"/>
    <n v="221"/>
    <n v="663"/>
    <n v="221"/>
    <n v="221"/>
    <n v="221"/>
    <n v="663"/>
    <n v="221"/>
    <n v="221"/>
    <n v="221"/>
    <n v="663"/>
    <n v="221"/>
    <n v="221"/>
    <n v="221"/>
    <n v="663"/>
    <n v="663"/>
    <n v="1105"/>
    <n v="1331"/>
    <n v="1105"/>
    <n v="5967"/>
    <x v="0"/>
    <x v="0"/>
    <n v="0.31684159982347582"/>
    <n v="2.4444280333801048E-2"/>
    <n v="0"/>
    <n v="0"/>
  </r>
  <r>
    <n v="281"/>
    <x v="5"/>
    <s v="Uttar Pradesh"/>
    <s v="Kanpur"/>
    <n v="9498"/>
    <x v="1"/>
    <n v="447"/>
    <n v="447"/>
    <n v="447"/>
    <n v="1341"/>
    <n v="447"/>
    <n v="447"/>
    <n v="447"/>
    <n v="1341"/>
    <n v="447"/>
    <n v="447"/>
    <n v="447"/>
    <n v="1341"/>
    <n v="447"/>
    <n v="447"/>
    <n v="447"/>
    <n v="1341"/>
    <n v="447"/>
    <n v="447"/>
    <n v="447"/>
    <n v="1341"/>
    <n v="1341"/>
    <n v="2235"/>
    <n v="2235"/>
    <n v="2235"/>
    <n v="12069"/>
    <x v="0"/>
    <x v="0"/>
    <n v="0.51270625187429375"/>
    <e v="#N/A"/>
    <n v="0"/>
    <n v="0"/>
  </r>
  <r>
    <n v="282"/>
    <x v="5"/>
    <s v="Uttar Pradesh"/>
    <s v="Kanpur"/>
    <n v="9496"/>
    <x v="1"/>
    <n v="447"/>
    <n v="447"/>
    <n v="447"/>
    <n v="1341"/>
    <n v="447"/>
    <n v="447"/>
    <n v="447"/>
    <n v="1341"/>
    <n v="447"/>
    <n v="447"/>
    <n v="447"/>
    <n v="1341"/>
    <n v="447"/>
    <n v="447"/>
    <n v="447"/>
    <n v="1341"/>
    <n v="447"/>
    <n v="447"/>
    <n v="447"/>
    <n v="1341"/>
    <n v="1341"/>
    <n v="2235"/>
    <n v="2235"/>
    <n v="2235"/>
    <n v="12069"/>
    <x v="0"/>
    <x v="0"/>
    <n v="0.90165549268193212"/>
    <e v="#N/A"/>
    <n v="0"/>
    <n v="0"/>
  </r>
  <r>
    <n v="283"/>
    <x v="5"/>
    <s v="Uttar Pradesh"/>
    <s v="Kanpur"/>
    <n v="7953"/>
    <x v="1"/>
    <n v="447"/>
    <n v="447"/>
    <n v="447"/>
    <n v="1341"/>
    <n v="447"/>
    <n v="447"/>
    <n v="447"/>
    <n v="1341"/>
    <n v="447"/>
    <n v="447"/>
    <n v="447"/>
    <n v="1341"/>
    <n v="447"/>
    <n v="447"/>
    <n v="447"/>
    <n v="1341"/>
    <n v="447"/>
    <n v="447"/>
    <n v="447"/>
    <n v="1341"/>
    <n v="1341"/>
    <n v="2235"/>
    <n v="2228"/>
    <n v="2235"/>
    <n v="12069"/>
    <x v="0"/>
    <x v="0"/>
    <n v="0.89073830877007221"/>
    <n v="1.5668789808917196E-2"/>
    <n v="0"/>
    <n v="0"/>
  </r>
  <r>
    <n v="284"/>
    <x v="5"/>
    <s v="Uttar Pradesh"/>
    <s v="Kanpur"/>
    <n v="15799"/>
    <x v="1"/>
    <n v="440"/>
    <n v="440"/>
    <n v="440"/>
    <n v="1320"/>
    <n v="440"/>
    <n v="440"/>
    <n v="440"/>
    <n v="1320"/>
    <n v="440"/>
    <n v="440"/>
    <n v="440"/>
    <n v="1320"/>
    <n v="440"/>
    <n v="440"/>
    <n v="440"/>
    <n v="1320"/>
    <n v="440"/>
    <n v="440"/>
    <n v="440"/>
    <n v="1320"/>
    <n v="1320"/>
    <n v="2200"/>
    <n v="2260"/>
    <n v="2200"/>
    <n v="11880"/>
    <x v="1"/>
    <x v="0"/>
    <n v="0.74992398058482146"/>
    <n v="1.67727009832273E-2"/>
    <n v="0"/>
    <n v="0"/>
  </r>
  <r>
    <n v="285"/>
    <x v="5"/>
    <s v="Uttar Pradesh"/>
    <s v="Kanpur"/>
    <n v="15836"/>
    <x v="0"/>
    <n v="500"/>
    <n v="500"/>
    <n v="500"/>
    <n v="1500"/>
    <n v="500"/>
    <n v="500"/>
    <n v="500"/>
    <n v="1500"/>
    <n v="500"/>
    <n v="500"/>
    <n v="500"/>
    <n v="1500"/>
    <n v="500"/>
    <n v="500"/>
    <n v="500"/>
    <n v="1500"/>
    <n v="500"/>
    <n v="500"/>
    <n v="500"/>
    <n v="1500"/>
    <n v="1500"/>
    <n v="2500"/>
    <n v="2213"/>
    <n v="2500"/>
    <n v="13500"/>
    <x v="1"/>
    <x v="0"/>
    <n v="0.87249415247391904"/>
    <e v="#N/A"/>
    <n v="0"/>
    <n v="0"/>
  </r>
  <r>
    <n v="286"/>
    <x v="5"/>
    <s v="Uttar Pradesh"/>
    <s v="Kanpur"/>
    <n v="8836"/>
    <x v="0"/>
    <n v="213"/>
    <n v="213"/>
    <n v="213"/>
    <n v="639"/>
    <n v="213"/>
    <n v="213"/>
    <n v="213"/>
    <n v="639"/>
    <n v="213"/>
    <n v="213"/>
    <n v="213"/>
    <n v="639"/>
    <n v="213"/>
    <n v="213"/>
    <n v="213"/>
    <n v="639"/>
    <n v="213"/>
    <n v="213"/>
    <n v="213"/>
    <n v="639"/>
    <n v="639"/>
    <n v="1065"/>
    <n v="1312"/>
    <n v="1065"/>
    <n v="5751"/>
    <x v="0"/>
    <x v="0"/>
    <n v="0.84528188872821375"/>
    <n v="1.5963120999695216E-2"/>
    <n v="0"/>
    <n v="0"/>
  </r>
  <r>
    <n v="287"/>
    <x v="5"/>
    <s v="Uttar Pradesh"/>
    <s v="Kanpur"/>
    <n v="8050"/>
    <x v="0"/>
    <n v="460"/>
    <n v="460"/>
    <n v="460"/>
    <n v="1380"/>
    <n v="460"/>
    <n v="460"/>
    <n v="460"/>
    <n v="1380"/>
    <n v="460"/>
    <n v="460"/>
    <n v="460"/>
    <n v="1380"/>
    <n v="460"/>
    <n v="460"/>
    <n v="460"/>
    <n v="1380"/>
    <n v="460"/>
    <n v="460"/>
    <n v="460"/>
    <n v="1380"/>
    <n v="1380"/>
    <n v="2300"/>
    <n v="1941"/>
    <n v="2300"/>
    <n v="12420"/>
    <x v="1"/>
    <x v="1"/>
    <n v="9.081572667914195E-2"/>
    <n v="2.494799766399601E-2"/>
    <n v="0"/>
    <n v="0"/>
  </r>
  <r>
    <n v="288"/>
    <x v="5"/>
    <s v="Uttar Pradesh"/>
    <s v="Lucknow"/>
    <n v="7997"/>
    <x v="0"/>
    <n v="101"/>
    <n v="101"/>
    <n v="101"/>
    <n v="303"/>
    <n v="101"/>
    <n v="101"/>
    <n v="101"/>
    <n v="303"/>
    <n v="101"/>
    <n v="101"/>
    <n v="101"/>
    <n v="303"/>
    <n v="101"/>
    <n v="101"/>
    <n v="101"/>
    <n v="303"/>
    <n v="101"/>
    <n v="101"/>
    <n v="101"/>
    <n v="303"/>
    <n v="303"/>
    <n v="505"/>
    <n v="758"/>
    <n v="505"/>
    <n v="2727"/>
    <x v="1"/>
    <x v="0"/>
    <n v="9.4145732080219036E-2"/>
    <e v="#N/A"/>
    <n v="0"/>
    <n v="0"/>
  </r>
  <r>
    <n v="289"/>
    <x v="5"/>
    <s v="Uttar Pradesh"/>
    <s v="Lucknow"/>
    <n v="8773"/>
    <x v="1"/>
    <n v="354"/>
    <n v="354"/>
    <n v="354"/>
    <n v="1062"/>
    <n v="354"/>
    <n v="354"/>
    <n v="354"/>
    <n v="1062"/>
    <n v="354"/>
    <n v="354"/>
    <n v="354"/>
    <n v="1062"/>
    <n v="354"/>
    <n v="354"/>
    <n v="354"/>
    <n v="1062"/>
    <n v="354"/>
    <n v="354"/>
    <n v="354"/>
    <n v="1062"/>
    <n v="1062"/>
    <n v="1770"/>
    <n v="1663"/>
    <n v="1770"/>
    <n v="9558"/>
    <x v="1"/>
    <x v="1"/>
    <n v="0.39664910737041958"/>
    <e v="#N/A"/>
    <n v="0"/>
    <n v="0"/>
  </r>
  <r>
    <n v="290"/>
    <x v="5"/>
    <s v="Uttar Pradesh"/>
    <s v="Lucknow"/>
    <n v="7962"/>
    <x v="0"/>
    <n v="247"/>
    <n v="247"/>
    <n v="247"/>
    <n v="741"/>
    <n v="247"/>
    <n v="247"/>
    <n v="247"/>
    <n v="741"/>
    <n v="247"/>
    <n v="247"/>
    <n v="247"/>
    <n v="741"/>
    <n v="247"/>
    <n v="247"/>
    <n v="247"/>
    <n v="741"/>
    <n v="247"/>
    <n v="247"/>
    <n v="247"/>
    <n v="741"/>
    <n v="741"/>
    <n v="1235"/>
    <n v="1318"/>
    <n v="1235"/>
    <n v="6669"/>
    <x v="0"/>
    <x v="0"/>
    <n v="0.75292324305742697"/>
    <n v="1.6944365998305563E-2"/>
    <n v="0"/>
    <n v="1"/>
  </r>
  <r>
    <n v="291"/>
    <x v="5"/>
    <s v="Uttar Pradesh"/>
    <s v="Lucknow"/>
    <n v="8849"/>
    <x v="0"/>
    <n v="330"/>
    <n v="330"/>
    <n v="330"/>
    <n v="990"/>
    <n v="330"/>
    <n v="330"/>
    <n v="330"/>
    <n v="990"/>
    <n v="330"/>
    <n v="330"/>
    <n v="330"/>
    <n v="990"/>
    <n v="330"/>
    <n v="330"/>
    <n v="330"/>
    <n v="990"/>
    <n v="330"/>
    <n v="330"/>
    <n v="330"/>
    <n v="990"/>
    <n v="990"/>
    <n v="1650"/>
    <n v="1635"/>
    <n v="1650"/>
    <n v="8910"/>
    <x v="0"/>
    <x v="1"/>
    <n v="0.47295749941125265"/>
    <e v="#N/A"/>
    <n v="0"/>
    <n v="0"/>
  </r>
  <r>
    <n v="292"/>
    <x v="5"/>
    <s v="Uttar Pradesh"/>
    <s v="Lucknow"/>
    <n v="7959"/>
    <x v="0"/>
    <n v="315"/>
    <n v="315"/>
    <n v="315"/>
    <n v="945"/>
    <n v="315"/>
    <n v="315"/>
    <n v="315"/>
    <n v="945"/>
    <n v="315"/>
    <n v="315"/>
    <n v="315"/>
    <n v="945"/>
    <n v="315"/>
    <n v="315"/>
    <n v="315"/>
    <n v="945"/>
    <n v="315"/>
    <n v="315"/>
    <n v="315"/>
    <n v="945"/>
    <n v="945"/>
    <n v="1575"/>
    <n v="1580"/>
    <n v="1575"/>
    <n v="8505"/>
    <x v="0"/>
    <x v="1"/>
    <n v="2.1207962462868157E-2"/>
    <n v="1.6588112872620433E-2"/>
    <n v="1"/>
    <n v="0"/>
  </r>
  <r>
    <n v="293"/>
    <x v="5"/>
    <s v="Uttar Pradesh"/>
    <s v="Lucknow"/>
    <n v="8774"/>
    <x v="0"/>
    <n v="320"/>
    <n v="320"/>
    <n v="320"/>
    <n v="960"/>
    <n v="320"/>
    <n v="320"/>
    <n v="320"/>
    <n v="960"/>
    <n v="320"/>
    <n v="320"/>
    <n v="320"/>
    <n v="960"/>
    <n v="320"/>
    <n v="320"/>
    <n v="320"/>
    <n v="960"/>
    <n v="320"/>
    <n v="320"/>
    <n v="320"/>
    <n v="960"/>
    <n v="960"/>
    <n v="1600"/>
    <n v="1500"/>
    <n v="1600"/>
    <n v="8640"/>
    <x v="0"/>
    <x v="1"/>
    <n v="0.89144002236901465"/>
    <e v="#N/A"/>
    <n v="0"/>
    <n v="0"/>
  </r>
  <r>
    <n v="294"/>
    <x v="5"/>
    <s v="Uttar Pradesh"/>
    <s v="Lucknow"/>
    <n v="8749"/>
    <x v="1"/>
    <n v="220"/>
    <n v="220"/>
    <n v="220"/>
    <n v="660"/>
    <n v="220"/>
    <n v="220"/>
    <n v="220"/>
    <n v="660"/>
    <n v="220"/>
    <n v="220"/>
    <n v="220"/>
    <n v="660"/>
    <n v="220"/>
    <n v="220"/>
    <n v="220"/>
    <n v="660"/>
    <n v="220"/>
    <n v="220"/>
    <n v="220"/>
    <n v="660"/>
    <n v="660"/>
    <n v="1100"/>
    <n v="1330"/>
    <n v="1100"/>
    <n v="5940"/>
    <x v="1"/>
    <x v="1"/>
    <n v="0.56175288974795079"/>
    <e v="#N/A"/>
    <n v="0"/>
    <n v="0"/>
  </r>
  <r>
    <n v="295"/>
    <x v="5"/>
    <s v="Uttar Pradesh"/>
    <s v="Lucknow"/>
    <n v="12175"/>
    <x v="1"/>
    <n v="450"/>
    <n v="450"/>
    <n v="450"/>
    <n v="1350"/>
    <n v="450"/>
    <n v="450"/>
    <n v="450"/>
    <n v="1350"/>
    <n v="450"/>
    <n v="450"/>
    <n v="450"/>
    <n v="1350"/>
    <n v="450"/>
    <n v="450"/>
    <n v="450"/>
    <n v="1350"/>
    <n v="450"/>
    <n v="450"/>
    <n v="450"/>
    <n v="1350"/>
    <n v="1350"/>
    <n v="2250"/>
    <n v="2100"/>
    <n v="2250"/>
    <n v="12150"/>
    <x v="1"/>
    <x v="1"/>
    <n v="0.14622964807383987"/>
    <n v="1.5545492740768404E-2"/>
    <n v="0"/>
    <n v="0"/>
  </r>
  <r>
    <n v="296"/>
    <x v="5"/>
    <s v="Uttar Pradesh"/>
    <s v="Lucknow"/>
    <n v="8099"/>
    <x v="0"/>
    <n v="300"/>
    <n v="300"/>
    <n v="300"/>
    <n v="900"/>
    <n v="300"/>
    <n v="300"/>
    <n v="300"/>
    <n v="900"/>
    <n v="300"/>
    <n v="300"/>
    <n v="300"/>
    <n v="900"/>
    <n v="300"/>
    <n v="300"/>
    <n v="300"/>
    <n v="900"/>
    <n v="300"/>
    <n v="300"/>
    <n v="300"/>
    <n v="900"/>
    <n v="900"/>
    <n v="1500"/>
    <n v="1560"/>
    <n v="1500"/>
    <n v="8100"/>
    <x v="0"/>
    <x v="1"/>
    <n v="0.9635273445668574"/>
    <n v="1.5842988886261528E-2"/>
    <n v="0"/>
    <n v="0"/>
  </r>
  <r>
    <n v="297"/>
    <x v="5"/>
    <s v="Uttar Pradesh"/>
    <s v="Lucknow"/>
    <n v="8348"/>
    <x v="0"/>
    <n v="360"/>
    <n v="360"/>
    <n v="360"/>
    <n v="1080"/>
    <n v="360"/>
    <n v="360"/>
    <n v="360"/>
    <n v="1080"/>
    <n v="360"/>
    <n v="360"/>
    <n v="360"/>
    <n v="1080"/>
    <n v="360"/>
    <n v="360"/>
    <n v="360"/>
    <n v="1080"/>
    <n v="360"/>
    <n v="360"/>
    <n v="360"/>
    <n v="1080"/>
    <n v="1080"/>
    <n v="1800"/>
    <n v="1770"/>
    <n v="1800"/>
    <n v="9720"/>
    <x v="0"/>
    <x v="1"/>
    <n v="0.40057875753535188"/>
    <n v="1.8449150404947174E-2"/>
    <n v="0"/>
    <n v="0"/>
  </r>
  <r>
    <n v="298"/>
    <x v="5"/>
    <s v="Uttar Pradesh"/>
    <s v="Lucknow"/>
    <n v="8001"/>
    <x v="0"/>
    <n v="330"/>
    <n v="330"/>
    <n v="330"/>
    <n v="990"/>
    <n v="330"/>
    <n v="330"/>
    <n v="330"/>
    <n v="990"/>
    <n v="330"/>
    <n v="330"/>
    <n v="330"/>
    <n v="990"/>
    <n v="330"/>
    <n v="330"/>
    <n v="330"/>
    <n v="990"/>
    <n v="330"/>
    <n v="330"/>
    <n v="330"/>
    <n v="990"/>
    <n v="990"/>
    <n v="1650"/>
    <n v="1640"/>
    <n v="1650"/>
    <n v="8910"/>
    <x v="0"/>
    <x v="1"/>
    <n v="0.8612070163705956"/>
    <n v="2.2555800062873312E-2"/>
    <n v="0"/>
    <n v="0"/>
  </r>
  <r>
    <n v="299"/>
    <x v="5"/>
    <s v="Uttar Pradesh"/>
    <s v="Lucknow"/>
    <n v="8038"/>
    <x v="0"/>
    <n v="320"/>
    <n v="320"/>
    <n v="320"/>
    <n v="960"/>
    <n v="320"/>
    <n v="320"/>
    <n v="320"/>
    <n v="960"/>
    <n v="320"/>
    <n v="320"/>
    <n v="320"/>
    <n v="960"/>
    <n v="320"/>
    <n v="320"/>
    <n v="320"/>
    <n v="960"/>
    <n v="320"/>
    <n v="320"/>
    <n v="320"/>
    <n v="960"/>
    <n v="960"/>
    <n v="1600"/>
    <n v="1545"/>
    <n v="1600"/>
    <n v="8640"/>
    <x v="0"/>
    <x v="0"/>
    <n v="0.48584660403818947"/>
    <n v="3.3618644941734555E-2"/>
    <n v="0"/>
    <n v="0"/>
  </r>
  <r>
    <n v="300"/>
    <x v="5"/>
    <s v="Uttar Pradesh"/>
    <s v="Lucknow"/>
    <n v="8334"/>
    <x v="0"/>
    <n v="265"/>
    <n v="265"/>
    <n v="265"/>
    <n v="795"/>
    <n v="265"/>
    <n v="265"/>
    <n v="265"/>
    <n v="795"/>
    <n v="265"/>
    <n v="265"/>
    <n v="265"/>
    <n v="795"/>
    <n v="265"/>
    <n v="265"/>
    <n v="265"/>
    <n v="795"/>
    <n v="265"/>
    <n v="265"/>
    <n v="265"/>
    <n v="795"/>
    <n v="795"/>
    <n v="1325"/>
    <n v="1530"/>
    <n v="1325"/>
    <n v="7155"/>
    <x v="0"/>
    <x v="0"/>
    <n v="0.77237995494715783"/>
    <n v="4.6531791907514448E-2"/>
    <n v="0"/>
    <n v="0"/>
  </r>
  <r>
    <n v="301"/>
    <x v="5"/>
    <s v="Uttar Pradesh"/>
    <s v="Lucknow"/>
    <n v="11695"/>
    <x v="0"/>
    <n v="470"/>
    <n v="470"/>
    <n v="470"/>
    <n v="1410"/>
    <n v="470"/>
    <n v="470"/>
    <n v="470"/>
    <n v="1410"/>
    <n v="470"/>
    <n v="470"/>
    <n v="470"/>
    <n v="1410"/>
    <n v="470"/>
    <n v="470"/>
    <n v="470"/>
    <n v="1410"/>
    <n v="468"/>
    <n v="470"/>
    <n v="470"/>
    <n v="1408"/>
    <n v="1410"/>
    <n v="2348"/>
    <n v="2310"/>
    <n v="2350"/>
    <n v="12688"/>
    <x v="1"/>
    <x v="0"/>
    <n v="0.43060316023937373"/>
    <n v="5.1584957668832448E-2"/>
    <n v="1"/>
    <n v="0"/>
  </r>
  <r>
    <n v="302"/>
    <x v="5"/>
    <s v="Uttar Pradesh"/>
    <s v="Lucknow"/>
    <n v="26428"/>
    <x v="0"/>
    <n v="430"/>
    <n v="430"/>
    <n v="430"/>
    <n v="1290"/>
    <n v="430"/>
    <n v="430"/>
    <n v="430"/>
    <n v="1290"/>
    <n v="430"/>
    <n v="430"/>
    <n v="430"/>
    <n v="1290"/>
    <n v="430"/>
    <n v="430"/>
    <n v="430"/>
    <n v="1290"/>
    <n v="430"/>
    <n v="430"/>
    <n v="430"/>
    <n v="1290"/>
    <n v="1290"/>
    <n v="2150"/>
    <n v="1890"/>
    <n v="2150"/>
    <n v="11610"/>
    <x v="0"/>
    <x v="0"/>
    <n v="0.56244641370116844"/>
    <n v="2.5357682912643946E-2"/>
    <n v="0"/>
    <n v="0"/>
  </r>
  <r>
    <n v="303"/>
    <x v="5"/>
    <s v="Uttar Pradesh"/>
    <s v="Lucknow"/>
    <n v="8133"/>
    <x v="0"/>
    <n v="170"/>
    <n v="170"/>
    <n v="170"/>
    <n v="510"/>
    <n v="170"/>
    <n v="170"/>
    <n v="170"/>
    <n v="510"/>
    <n v="170"/>
    <n v="170"/>
    <n v="170"/>
    <n v="510"/>
    <n v="170"/>
    <n v="170"/>
    <n v="170"/>
    <n v="510"/>
    <n v="170"/>
    <n v="170"/>
    <n v="170"/>
    <n v="510"/>
    <n v="510"/>
    <n v="850"/>
    <n v="884"/>
    <n v="850"/>
    <n v="4590"/>
    <x v="0"/>
    <x v="0"/>
    <n v="0.30776373175561134"/>
    <n v="2.4279337532852198E-2"/>
    <n v="0"/>
    <n v="0"/>
  </r>
  <r>
    <n v="304"/>
    <x v="5"/>
    <s v="Uttar Pradesh"/>
    <s v="Lucknow"/>
    <n v="7873"/>
    <x v="0"/>
    <n v="204"/>
    <n v="204"/>
    <n v="204"/>
    <n v="612"/>
    <n v="204"/>
    <n v="204"/>
    <n v="204"/>
    <n v="612"/>
    <n v="204"/>
    <n v="204"/>
    <n v="204"/>
    <n v="612"/>
    <n v="204"/>
    <n v="204"/>
    <n v="204"/>
    <n v="612"/>
    <n v="204"/>
    <n v="204"/>
    <n v="204"/>
    <n v="612"/>
    <n v="612"/>
    <n v="1020"/>
    <n v="1266"/>
    <n v="1020"/>
    <n v="5508"/>
    <x v="0"/>
    <x v="0"/>
    <n v="0.33052030726982717"/>
    <e v="#N/A"/>
    <n v="2"/>
    <n v="0"/>
  </r>
  <r>
    <n v="305"/>
    <x v="5"/>
    <s v="Uttar Pradesh"/>
    <s v="Moradabad"/>
    <n v="8039"/>
    <x v="1"/>
    <n v="450"/>
    <n v="450"/>
    <n v="450"/>
    <n v="1350"/>
    <n v="450"/>
    <n v="450"/>
    <n v="450"/>
    <n v="1350"/>
    <n v="450"/>
    <n v="450"/>
    <n v="450"/>
    <n v="1350"/>
    <n v="450"/>
    <n v="450"/>
    <n v="450"/>
    <n v="1350"/>
    <n v="450"/>
    <n v="450"/>
    <n v="450"/>
    <n v="1350"/>
    <n v="1350"/>
    <n v="2250"/>
    <n v="2002"/>
    <n v="2250"/>
    <n v="12150"/>
    <x v="0"/>
    <x v="0"/>
    <n v="0.14165773022918349"/>
    <n v="0"/>
    <n v="0"/>
    <n v="0"/>
  </r>
  <r>
    <n v="306"/>
    <x v="5"/>
    <s v="Uttar Pradesh"/>
    <s v="Prayagraj"/>
    <n v="8208"/>
    <x v="0"/>
    <n v="202"/>
    <n v="202"/>
    <n v="202"/>
    <n v="606"/>
    <n v="202"/>
    <n v="202"/>
    <n v="202"/>
    <n v="606"/>
    <n v="202"/>
    <n v="202"/>
    <n v="202"/>
    <n v="606"/>
    <n v="202"/>
    <n v="202"/>
    <n v="202"/>
    <n v="606"/>
    <n v="202"/>
    <n v="202"/>
    <n v="202"/>
    <n v="606"/>
    <n v="606"/>
    <n v="1010"/>
    <n v="1091"/>
    <n v="1010"/>
    <n v="5454"/>
    <x v="0"/>
    <x v="0"/>
    <n v="7.6203690947840075E-2"/>
    <n v="1.7072525145579671E-2"/>
    <n v="1"/>
    <n v="0"/>
  </r>
  <r>
    <n v="307"/>
    <x v="5"/>
    <s v="Uttar Pradesh"/>
    <s v="Prayagraj"/>
    <n v="8002"/>
    <x v="0"/>
    <n v="283"/>
    <n v="283"/>
    <n v="283"/>
    <n v="849"/>
    <n v="283"/>
    <n v="283"/>
    <n v="283"/>
    <n v="849"/>
    <n v="283"/>
    <n v="283"/>
    <n v="283"/>
    <n v="849"/>
    <n v="283"/>
    <n v="283"/>
    <n v="283"/>
    <n v="849"/>
    <n v="283"/>
    <n v="283"/>
    <n v="283"/>
    <n v="849"/>
    <n v="849"/>
    <n v="1415"/>
    <n v="1360"/>
    <n v="1415"/>
    <n v="7641"/>
    <x v="0"/>
    <x v="0"/>
    <n v="0.13374954856602594"/>
    <n v="2.3746424916690718E-2"/>
    <n v="0"/>
    <n v="0"/>
  </r>
  <r>
    <n v="308"/>
    <x v="5"/>
    <s v="Uttar Pradesh"/>
    <s v="Prayagraj"/>
    <n v="8228"/>
    <x v="0"/>
    <n v="228"/>
    <n v="228"/>
    <n v="228"/>
    <n v="684"/>
    <n v="228"/>
    <n v="228"/>
    <n v="228"/>
    <n v="684"/>
    <n v="228"/>
    <n v="228"/>
    <n v="228"/>
    <n v="684"/>
    <n v="228"/>
    <n v="228"/>
    <n v="228"/>
    <n v="684"/>
    <n v="228"/>
    <n v="228"/>
    <n v="228"/>
    <n v="684"/>
    <n v="684"/>
    <n v="1140"/>
    <n v="1122"/>
    <n v="1140"/>
    <n v="6156"/>
    <x v="0"/>
    <x v="1"/>
    <n v="0.60194911313071209"/>
    <n v="2.0519649014988563E-2"/>
    <n v="1"/>
    <n v="0"/>
  </r>
  <r>
    <n v="309"/>
    <x v="5"/>
    <s v="Uttar Pradesh"/>
    <s v="Prayagraj"/>
    <n v="14425"/>
    <x v="0"/>
    <n v="210"/>
    <n v="210"/>
    <n v="210"/>
    <n v="630"/>
    <n v="210"/>
    <n v="210"/>
    <n v="210"/>
    <n v="630"/>
    <n v="210"/>
    <n v="210"/>
    <n v="210"/>
    <n v="630"/>
    <n v="210"/>
    <n v="210"/>
    <n v="210"/>
    <n v="630"/>
    <n v="210"/>
    <n v="210"/>
    <n v="210"/>
    <n v="630"/>
    <n v="630"/>
    <n v="1050"/>
    <n v="1040"/>
    <n v="1050"/>
    <n v="5670"/>
    <x v="1"/>
    <x v="1"/>
    <n v="0.89092709120860591"/>
    <n v="0"/>
    <n v="0"/>
    <n v="0"/>
  </r>
  <r>
    <n v="310"/>
    <x v="5"/>
    <s v="Uttar Pradesh"/>
    <s v="Prayagraj"/>
    <n v="2764"/>
    <x v="0"/>
    <n v="200"/>
    <n v="200"/>
    <n v="200"/>
    <n v="600"/>
    <n v="200"/>
    <n v="200"/>
    <n v="200"/>
    <n v="600"/>
    <n v="200"/>
    <n v="200"/>
    <n v="200"/>
    <n v="600"/>
    <n v="200"/>
    <n v="200"/>
    <n v="200"/>
    <n v="600"/>
    <n v="200"/>
    <n v="200"/>
    <n v="200"/>
    <n v="600"/>
    <n v="600"/>
    <n v="1000"/>
    <n v="1340"/>
    <n v="1000"/>
    <n v="5400"/>
    <x v="0"/>
    <x v="1"/>
    <n v="0.53026846254361837"/>
    <n v="1.756311745334797E-2"/>
    <n v="0"/>
    <n v="0"/>
  </r>
  <r>
    <n v="311"/>
    <x v="5"/>
    <s v="Uttar Pradesh"/>
    <s v="Prayagraj"/>
    <n v="26801"/>
    <x v="0"/>
    <n v="540"/>
    <n v="540"/>
    <n v="540"/>
    <n v="1620"/>
    <n v="540"/>
    <n v="540"/>
    <n v="540"/>
    <n v="1620"/>
    <n v="540"/>
    <n v="540"/>
    <n v="540"/>
    <n v="1620"/>
    <n v="540"/>
    <n v="540"/>
    <n v="540"/>
    <n v="1620"/>
    <n v="540"/>
    <n v="540"/>
    <n v="540"/>
    <n v="1620"/>
    <n v="1620"/>
    <n v="2700"/>
    <n v="2385"/>
    <n v="2700"/>
    <n v="14580"/>
    <x v="1"/>
    <x v="1"/>
    <n v="0.3458059696324669"/>
    <n v="2.9674369747899158E-2"/>
    <n v="0"/>
    <n v="0"/>
  </r>
  <r>
    <n v="312"/>
    <x v="5"/>
    <s v="Uttar Pradesh"/>
    <s v="Prayagraj"/>
    <n v="8553"/>
    <x v="0"/>
    <n v="225"/>
    <n v="225"/>
    <n v="225"/>
    <n v="675"/>
    <n v="225"/>
    <n v="225"/>
    <n v="225"/>
    <n v="675"/>
    <n v="225"/>
    <n v="225"/>
    <n v="225"/>
    <n v="675"/>
    <n v="225"/>
    <n v="225"/>
    <n v="225"/>
    <n v="675"/>
    <n v="225"/>
    <n v="225"/>
    <n v="225"/>
    <n v="675"/>
    <n v="675"/>
    <n v="1125"/>
    <n v="1120"/>
    <n v="1125"/>
    <n v="6075"/>
    <x v="0"/>
    <x v="1"/>
    <n v="0.20293406497585109"/>
    <e v="#N/A"/>
    <n v="0"/>
    <n v="0"/>
  </r>
  <r>
    <n v="313"/>
    <x v="4"/>
    <s v="Uttar Pradesh"/>
    <s v="Prayagraj"/>
    <n v="7993"/>
    <x v="1"/>
    <n v="220"/>
    <n v="220"/>
    <n v="220"/>
    <n v="660"/>
    <n v="220"/>
    <n v="220"/>
    <n v="220"/>
    <n v="660"/>
    <n v="220"/>
    <n v="220"/>
    <n v="220"/>
    <n v="660"/>
    <n v="220"/>
    <n v="220"/>
    <n v="220"/>
    <n v="660"/>
    <n v="220"/>
    <n v="220"/>
    <n v="220"/>
    <n v="660"/>
    <n v="660"/>
    <n v="1100"/>
    <n v="1180"/>
    <n v="1100"/>
    <n v="5940"/>
    <x v="0"/>
    <x v="1"/>
    <n v="0.64319121438886495"/>
    <n v="1.916644064731941E-2"/>
    <n v="1"/>
    <n v="0"/>
  </r>
  <r>
    <n v="314"/>
    <x v="4"/>
    <s v="Uttar Pradesh"/>
    <s v="Prayagraj"/>
    <n v="85"/>
    <x v="0"/>
    <n v="300"/>
    <n v="300"/>
    <n v="300"/>
    <n v="900"/>
    <n v="300"/>
    <n v="300"/>
    <n v="300"/>
    <n v="900"/>
    <n v="300"/>
    <n v="300"/>
    <n v="300"/>
    <n v="900"/>
    <n v="300"/>
    <n v="300"/>
    <n v="300"/>
    <n v="900"/>
    <n v="300"/>
    <n v="300"/>
    <n v="300"/>
    <n v="900"/>
    <n v="900"/>
    <n v="1500"/>
    <n v="1390"/>
    <n v="1500"/>
    <n v="8100"/>
    <x v="0"/>
    <x v="1"/>
    <n v="0.41983846355891852"/>
    <n v="2.0643403541863146E-2"/>
    <n v="1"/>
    <n v="0"/>
  </r>
  <r>
    <n v="315"/>
    <x v="4"/>
    <s v="Uttar Pradesh"/>
    <s v="Prayagraj"/>
    <n v="37100"/>
    <x v="0"/>
    <n v="190"/>
    <n v="190"/>
    <n v="190"/>
    <n v="570"/>
    <n v="190"/>
    <n v="190"/>
    <n v="190"/>
    <n v="570"/>
    <n v="190"/>
    <n v="190"/>
    <n v="190"/>
    <n v="570"/>
    <n v="190"/>
    <n v="190"/>
    <n v="190"/>
    <n v="570"/>
    <n v="190"/>
    <n v="190"/>
    <n v="190"/>
    <n v="570"/>
    <n v="570"/>
    <n v="950"/>
    <n v="907"/>
    <n v="950"/>
    <n v="5130"/>
    <x v="1"/>
    <x v="1"/>
    <n v="0.41511136880313237"/>
    <n v="3.3116331729408435E-2"/>
    <n v="1"/>
    <n v="0"/>
  </r>
  <r>
    <n v="316"/>
    <x v="4"/>
    <s v="Uttar Pradesh"/>
    <s v="Varanasi"/>
    <n v="8567"/>
    <x v="0"/>
    <n v="147"/>
    <n v="147"/>
    <n v="147"/>
    <n v="441"/>
    <n v="147"/>
    <n v="147"/>
    <n v="147"/>
    <n v="441"/>
    <n v="147"/>
    <n v="147"/>
    <n v="147"/>
    <n v="441"/>
    <n v="147"/>
    <n v="147"/>
    <n v="147"/>
    <n v="441"/>
    <n v="147"/>
    <n v="147"/>
    <n v="147"/>
    <n v="441"/>
    <n v="441"/>
    <n v="735"/>
    <n v="838"/>
    <n v="735"/>
    <n v="3969"/>
    <x v="0"/>
    <x v="0"/>
    <n v="0.37552441796872005"/>
    <e v="#N/A"/>
    <n v="0"/>
    <n v="0"/>
  </r>
  <r>
    <n v="317"/>
    <x v="4"/>
    <s v="Uttar Pradesh"/>
    <s v="Varanasi"/>
    <n v="4595"/>
    <x v="0"/>
    <n v="250"/>
    <n v="250"/>
    <n v="250"/>
    <n v="750"/>
    <n v="250"/>
    <n v="250"/>
    <n v="250"/>
    <n v="750"/>
    <n v="250"/>
    <n v="250"/>
    <n v="250"/>
    <n v="750"/>
    <n v="250"/>
    <n v="250"/>
    <n v="250"/>
    <n v="750"/>
    <n v="250"/>
    <n v="250"/>
    <n v="250"/>
    <n v="750"/>
    <n v="750"/>
    <n v="1250"/>
    <n v="1500"/>
    <n v="1250"/>
    <n v="6750"/>
    <x v="1"/>
    <x v="0"/>
    <n v="0.72232165548926319"/>
    <n v="0"/>
    <n v="0"/>
    <n v="0"/>
  </r>
  <r>
    <n v="318"/>
    <x v="4"/>
    <s v="Uttar Pradesh"/>
    <s v="Varanasi"/>
    <n v="28854"/>
    <x v="0"/>
    <n v="500"/>
    <n v="500"/>
    <n v="500"/>
    <n v="1500"/>
    <n v="500"/>
    <n v="500"/>
    <n v="500"/>
    <n v="1500"/>
    <n v="500"/>
    <n v="500"/>
    <n v="500"/>
    <n v="1500"/>
    <n v="500"/>
    <n v="500"/>
    <n v="500"/>
    <n v="1500"/>
    <n v="500"/>
    <n v="500"/>
    <n v="500"/>
    <n v="1500"/>
    <n v="1500"/>
    <n v="2500"/>
    <n v="2275"/>
    <n v="2500"/>
    <n v="13500"/>
    <x v="0"/>
    <x v="0"/>
    <n v="0.73041830675873121"/>
    <e v="#N/A"/>
    <n v="0"/>
    <n v="0"/>
  </r>
  <r>
    <n v="319"/>
    <x v="4"/>
    <s v="Uttar Pradesh"/>
    <s v="Varanasi"/>
    <n v="33971"/>
    <x v="0"/>
    <n v="275"/>
    <n v="275"/>
    <n v="275"/>
    <n v="825"/>
    <n v="275"/>
    <n v="275"/>
    <n v="275"/>
    <n v="825"/>
    <n v="275"/>
    <n v="275"/>
    <n v="275"/>
    <n v="825"/>
    <n v="275"/>
    <n v="275"/>
    <n v="275"/>
    <n v="825"/>
    <n v="275"/>
    <n v="275"/>
    <n v="275"/>
    <n v="825"/>
    <n v="825"/>
    <n v="1375"/>
    <n v="1245"/>
    <n v="1375"/>
    <n v="7425"/>
    <x v="1"/>
    <x v="0"/>
    <n v="0.12598300763432169"/>
    <e v="#N/A"/>
    <n v="0"/>
    <n v="0"/>
  </r>
  <r>
    <n v="320"/>
    <x v="4"/>
    <s v="Uttar Pradesh"/>
    <s v="Varanasi"/>
    <n v="9452"/>
    <x v="0"/>
    <n v="145"/>
    <n v="145"/>
    <n v="145"/>
    <n v="435"/>
    <n v="145"/>
    <n v="145"/>
    <n v="145"/>
    <n v="435"/>
    <n v="145"/>
    <n v="145"/>
    <n v="145"/>
    <n v="435"/>
    <n v="145"/>
    <n v="145"/>
    <n v="145"/>
    <n v="435"/>
    <n v="145"/>
    <n v="145"/>
    <n v="145"/>
    <n v="435"/>
    <n v="435"/>
    <n v="725"/>
    <n v="800"/>
    <n v="725"/>
    <n v="3915"/>
    <x v="1"/>
    <x v="1"/>
    <n v="0.25661541787954256"/>
    <n v="3.4445640473627553E-2"/>
    <n v="0"/>
    <n v="0"/>
  </r>
  <r>
    <n v="321"/>
    <x v="4"/>
    <s v="Uttar Pradesh"/>
    <s v="Varanasi"/>
    <n v="8564"/>
    <x v="1"/>
    <n v="220"/>
    <n v="220"/>
    <n v="220"/>
    <n v="660"/>
    <n v="220"/>
    <n v="220"/>
    <n v="220"/>
    <n v="660"/>
    <n v="220"/>
    <n v="220"/>
    <n v="220"/>
    <n v="660"/>
    <n v="220"/>
    <n v="220"/>
    <n v="220"/>
    <n v="660"/>
    <n v="220"/>
    <n v="220"/>
    <n v="220"/>
    <n v="660"/>
    <n v="660"/>
    <n v="1100"/>
    <n v="1100"/>
    <n v="1100"/>
    <n v="5940"/>
    <x v="1"/>
    <x v="1"/>
    <n v="0.58667089657164639"/>
    <n v="1.858867505177552E-2"/>
    <n v="0"/>
    <n v="0"/>
  </r>
  <r>
    <n v="322"/>
    <x v="4"/>
    <s v="Uttar Pradesh"/>
    <s v="Varanasi"/>
    <n v="4895"/>
    <x v="1"/>
    <n v="220"/>
    <n v="220"/>
    <n v="220"/>
    <n v="660"/>
    <n v="220"/>
    <n v="220"/>
    <n v="220"/>
    <n v="660"/>
    <n v="220"/>
    <n v="220"/>
    <n v="220"/>
    <n v="660"/>
    <n v="220"/>
    <n v="220"/>
    <n v="220"/>
    <n v="660"/>
    <n v="220"/>
    <n v="220"/>
    <n v="220"/>
    <n v="660"/>
    <n v="660"/>
    <n v="1100"/>
    <n v="1008"/>
    <n v="1100"/>
    <n v="5940"/>
    <x v="1"/>
    <x v="1"/>
    <n v="0.91529673065239525"/>
    <n v="3.487728363166636E-2"/>
    <n v="0"/>
    <n v="0"/>
  </r>
  <r>
    <n v="323"/>
    <x v="4"/>
    <s v="Uttar Pradesh"/>
    <s v="Varanasi"/>
    <n v="8588"/>
    <x v="0"/>
    <n v="128"/>
    <n v="128"/>
    <n v="128"/>
    <n v="384"/>
    <n v="128"/>
    <n v="128"/>
    <n v="128"/>
    <n v="384"/>
    <n v="128"/>
    <n v="128"/>
    <n v="128"/>
    <n v="384"/>
    <n v="128"/>
    <n v="128"/>
    <n v="128"/>
    <n v="384"/>
    <n v="128"/>
    <n v="128"/>
    <n v="128"/>
    <n v="384"/>
    <n v="384"/>
    <n v="640"/>
    <n v="716"/>
    <n v="640"/>
    <n v="3456"/>
    <x v="0"/>
    <x v="1"/>
    <n v="0.93940052383186867"/>
    <e v="#N/A"/>
    <n v="0"/>
    <n v="0"/>
  </r>
  <r>
    <n v="324"/>
    <x v="4"/>
    <s v="Uttar Pradesh"/>
    <s v="Varanasi"/>
    <n v="8554"/>
    <x v="0"/>
    <n v="204"/>
    <n v="204"/>
    <n v="204"/>
    <n v="612"/>
    <n v="204"/>
    <n v="204"/>
    <n v="204"/>
    <n v="612"/>
    <n v="204"/>
    <n v="204"/>
    <n v="204"/>
    <n v="612"/>
    <n v="204"/>
    <n v="204"/>
    <n v="204"/>
    <n v="612"/>
    <n v="204"/>
    <n v="204"/>
    <n v="204"/>
    <n v="612"/>
    <n v="612"/>
    <n v="1020"/>
    <n v="1216"/>
    <n v="1020"/>
    <n v="5508"/>
    <x v="0"/>
    <x v="1"/>
    <n v="0.9600518497629551"/>
    <e v="#N/A"/>
    <n v="0"/>
    <n v="0"/>
  </r>
  <r>
    <n v="325"/>
    <x v="4"/>
    <s v="Uttar Pradesh"/>
    <s v="Varanasi"/>
    <n v="9451"/>
    <x v="0"/>
    <n v="400"/>
    <n v="400"/>
    <n v="400"/>
    <n v="1200"/>
    <n v="400"/>
    <n v="400"/>
    <n v="400"/>
    <n v="1200"/>
    <n v="400"/>
    <n v="400"/>
    <n v="400"/>
    <n v="1200"/>
    <n v="400"/>
    <n v="400"/>
    <n v="400"/>
    <n v="1200"/>
    <n v="400"/>
    <n v="400"/>
    <n v="400"/>
    <n v="1200"/>
    <n v="1200"/>
    <n v="2000"/>
    <n v="1790"/>
    <n v="2000"/>
    <n v="10800"/>
    <x v="0"/>
    <x v="0"/>
    <n v="0.78498270164317918"/>
    <n v="3.8300483165886953E-2"/>
    <n v="0"/>
    <n v="0"/>
  </r>
  <r>
    <n v="326"/>
    <x v="4"/>
    <s v="Uttar Pradesh"/>
    <s v="Varanasi"/>
    <n v="30630"/>
    <x v="0"/>
    <n v="190"/>
    <n v="190"/>
    <n v="190"/>
    <n v="570"/>
    <n v="190"/>
    <n v="190"/>
    <n v="190"/>
    <n v="570"/>
    <n v="190"/>
    <n v="190"/>
    <n v="190"/>
    <n v="570"/>
    <n v="190"/>
    <n v="190"/>
    <n v="190"/>
    <n v="570"/>
    <n v="187"/>
    <n v="190"/>
    <n v="190"/>
    <n v="567"/>
    <n v="570"/>
    <n v="947"/>
    <n v="940"/>
    <n v="950"/>
    <n v="5127"/>
    <x v="0"/>
    <x v="0"/>
    <n v="0.64065781850512182"/>
    <n v="2.4508280424455003E-2"/>
    <n v="1"/>
    <n v="0"/>
  </r>
  <r>
    <n v="327"/>
    <x v="4"/>
    <s v="Uttar Pradesh"/>
    <s v="Varanasi"/>
    <n v="34053"/>
    <x v="0"/>
    <n v="180"/>
    <n v="180"/>
    <n v="180"/>
    <n v="540"/>
    <n v="180"/>
    <n v="180"/>
    <n v="180"/>
    <n v="540"/>
    <n v="180"/>
    <n v="180"/>
    <n v="180"/>
    <n v="540"/>
    <n v="180"/>
    <n v="180"/>
    <n v="180"/>
    <n v="540"/>
    <n v="180"/>
    <n v="180"/>
    <n v="180"/>
    <n v="540"/>
    <n v="540"/>
    <n v="900"/>
    <n v="1001"/>
    <n v="900"/>
    <n v="4860"/>
    <x v="1"/>
    <x v="0"/>
    <n v="9.3010466855928953E-2"/>
    <n v="3.0806204937732139E-2"/>
    <n v="1"/>
    <n v="0"/>
  </r>
  <r>
    <n v="328"/>
    <x v="4"/>
    <s v="Uttarakhand"/>
    <s v="Dehradun"/>
    <n v="7998"/>
    <x v="0"/>
    <n v="281"/>
    <n v="281"/>
    <n v="281"/>
    <n v="843"/>
    <n v="281"/>
    <n v="281"/>
    <n v="281"/>
    <n v="843"/>
    <n v="281"/>
    <n v="281"/>
    <n v="281"/>
    <n v="843"/>
    <n v="281"/>
    <n v="281"/>
    <n v="281"/>
    <n v="843"/>
    <n v="281"/>
    <n v="281"/>
    <n v="281"/>
    <n v="843"/>
    <n v="843"/>
    <n v="1405"/>
    <n v="1364"/>
    <n v="1405"/>
    <n v="7587"/>
    <x v="0"/>
    <x v="0"/>
    <n v="0.28442740434762148"/>
    <e v="#N/A"/>
    <n v="0"/>
    <n v="0"/>
  </r>
  <r>
    <n v="329"/>
    <x v="4"/>
    <s v="Uttarakhand"/>
    <s v="Dehradun"/>
    <n v="35649"/>
    <x v="0"/>
    <n v="240"/>
    <n v="240"/>
    <n v="240"/>
    <n v="720"/>
    <n v="240"/>
    <n v="240"/>
    <n v="240"/>
    <n v="720"/>
    <n v="240"/>
    <n v="240"/>
    <n v="240"/>
    <n v="720"/>
    <n v="240"/>
    <n v="240"/>
    <n v="240"/>
    <n v="720"/>
    <n v="240"/>
    <n v="240"/>
    <n v="240"/>
    <n v="720"/>
    <n v="720"/>
    <n v="1200"/>
    <n v="1180"/>
    <n v="1200"/>
    <n v="6480"/>
    <x v="1"/>
    <x v="1"/>
    <n v="0.45804910889897066"/>
    <n v="0.10416666666666667"/>
    <n v="0"/>
    <n v="0"/>
  </r>
  <r>
    <n v="330"/>
    <x v="4"/>
    <s v="Uttarakhand"/>
    <s v="Haldwani"/>
    <n v="11678"/>
    <x v="1"/>
    <n v="220"/>
    <n v="220"/>
    <n v="220"/>
    <n v="660"/>
    <n v="220"/>
    <n v="220"/>
    <n v="220"/>
    <n v="660"/>
    <n v="220"/>
    <n v="220"/>
    <n v="220"/>
    <n v="660"/>
    <n v="220"/>
    <n v="220"/>
    <n v="220"/>
    <n v="660"/>
    <n v="220"/>
    <n v="220"/>
    <n v="220"/>
    <n v="660"/>
    <n v="660"/>
    <n v="1100"/>
    <n v="1105"/>
    <n v="1100"/>
    <n v="5940"/>
    <x v="1"/>
    <x v="0"/>
    <n v="0.95022009382255634"/>
    <n v="3.7700797727024365E-2"/>
    <n v="0"/>
    <n v="0"/>
  </r>
  <r>
    <n v="331"/>
    <x v="4"/>
    <s v="Uttarakhand"/>
    <s v="Haldwani"/>
    <n v="37368"/>
    <x v="1"/>
    <n v="225"/>
    <n v="225"/>
    <n v="225"/>
    <n v="675"/>
    <n v="225"/>
    <n v="225"/>
    <n v="225"/>
    <n v="675"/>
    <n v="225"/>
    <n v="225"/>
    <n v="225"/>
    <n v="675"/>
    <n v="225"/>
    <n v="225"/>
    <n v="225"/>
    <n v="675"/>
    <n v="225"/>
    <n v="225"/>
    <n v="225"/>
    <n v="675"/>
    <n v="675"/>
    <n v="1125"/>
    <n v="1160"/>
    <n v="1125"/>
    <n v="6075"/>
    <x v="1"/>
    <x v="0"/>
    <n v="0.68030947243803519"/>
    <n v="0"/>
    <n v="0"/>
    <n v="0"/>
  </r>
  <r>
    <n v="332"/>
    <x v="4"/>
    <s v="Uttarakhand"/>
    <s v="Haldwani"/>
    <n v="14389"/>
    <x v="0"/>
    <n v="260"/>
    <n v="260"/>
    <n v="260"/>
    <n v="780"/>
    <n v="260"/>
    <n v="260"/>
    <n v="260"/>
    <n v="780"/>
    <n v="260"/>
    <n v="260"/>
    <n v="260"/>
    <n v="780"/>
    <n v="260"/>
    <n v="260"/>
    <n v="260"/>
    <n v="780"/>
    <n v="260"/>
    <n v="260"/>
    <n v="260"/>
    <n v="780"/>
    <n v="780"/>
    <n v="1300"/>
    <n v="1250"/>
    <n v="1300"/>
    <n v="7020"/>
    <x v="1"/>
    <x v="0"/>
    <n v="0.61185716018272207"/>
    <n v="0"/>
    <n v="0"/>
    <n v="0"/>
  </r>
  <r>
    <n v="333"/>
    <x v="4"/>
    <s v="Uttarakhand"/>
    <s v="Roorkee"/>
    <n v="11354"/>
    <x v="0"/>
    <n v="210"/>
    <n v="210"/>
    <n v="210"/>
    <n v="630"/>
    <n v="210"/>
    <n v="210"/>
    <n v="210"/>
    <n v="630"/>
    <n v="210"/>
    <n v="210"/>
    <n v="210"/>
    <n v="630"/>
    <n v="210"/>
    <n v="210"/>
    <n v="210"/>
    <n v="630"/>
    <n v="210"/>
    <n v="210"/>
    <n v="210"/>
    <n v="630"/>
    <n v="630"/>
    <n v="1050"/>
    <n v="1078"/>
    <n v="1050"/>
    <n v="5670"/>
    <x v="1"/>
    <x v="0"/>
    <n v="0.92857355479102444"/>
    <n v="1.7308440295604823E-2"/>
    <n v="0"/>
    <n v="0"/>
  </r>
  <r>
    <n v="334"/>
    <x v="4"/>
    <s v="Uttarakhand"/>
    <s v="Roorkee"/>
    <n v="37525"/>
    <x v="0"/>
    <n v="238"/>
    <n v="238"/>
    <n v="238"/>
    <n v="714"/>
    <n v="238"/>
    <n v="238"/>
    <n v="238"/>
    <n v="714"/>
    <n v="238"/>
    <n v="238"/>
    <n v="238"/>
    <n v="714"/>
    <n v="238"/>
    <n v="238"/>
    <n v="238"/>
    <n v="714"/>
    <n v="238"/>
    <n v="238"/>
    <n v="238"/>
    <n v="714"/>
    <n v="714"/>
    <n v="1190"/>
    <n v="1351"/>
    <n v="1190"/>
    <n v="6426"/>
    <x v="0"/>
    <x v="0"/>
    <n v="0.57350645181599047"/>
    <n v="2.0976447497546614E-2"/>
    <n v="1"/>
    <n v="0"/>
  </r>
  <r>
    <n v="335"/>
    <x v="2"/>
    <s v="West Bengal"/>
    <s v="Asansol"/>
    <n v="8387"/>
    <x v="1"/>
    <n v="400"/>
    <n v="399"/>
    <n v="400"/>
    <n v="1199"/>
    <n v="400"/>
    <n v="400"/>
    <n v="400"/>
    <n v="1200"/>
    <n v="400"/>
    <n v="400"/>
    <n v="212"/>
    <n v="1012"/>
    <n v="400"/>
    <n v="400"/>
    <n v="400"/>
    <n v="1200"/>
    <n v="400"/>
    <n v="400"/>
    <n v="400"/>
    <n v="1200"/>
    <n v="1200"/>
    <n v="1999"/>
    <n v="1833"/>
    <n v="1812"/>
    <n v="10422"/>
    <x v="1"/>
    <x v="1"/>
    <n v="0.29874241832397186"/>
    <n v="0"/>
    <n v="0"/>
    <n v="0"/>
  </r>
  <r>
    <n v="336"/>
    <x v="2"/>
    <s v="West Bengal"/>
    <s v="Burdwan"/>
    <n v="8148"/>
    <x v="0"/>
    <n v="233"/>
    <n v="233"/>
    <n v="233"/>
    <n v="699"/>
    <n v="233"/>
    <n v="233"/>
    <n v="233"/>
    <n v="699"/>
    <n v="233"/>
    <n v="233"/>
    <n v="233"/>
    <n v="699"/>
    <n v="233"/>
    <n v="233"/>
    <n v="233"/>
    <n v="699"/>
    <n v="233"/>
    <n v="233"/>
    <n v="233"/>
    <n v="699"/>
    <n v="699"/>
    <n v="1165"/>
    <n v="1165"/>
    <n v="1165"/>
    <n v="6291"/>
    <x v="0"/>
    <x v="1"/>
    <n v="0.40665801115862799"/>
    <e v="#N/A"/>
    <n v="0"/>
    <n v="0"/>
  </r>
  <r>
    <n v="337"/>
    <x v="2"/>
    <s v="West Bengal"/>
    <s v="Durgapur"/>
    <n v="8747"/>
    <x v="0"/>
    <n v="236"/>
    <n v="233"/>
    <n v="233"/>
    <n v="702"/>
    <n v="233"/>
    <n v="233"/>
    <n v="233"/>
    <n v="699"/>
    <n v="233"/>
    <n v="233"/>
    <n v="233"/>
    <n v="699"/>
    <n v="233"/>
    <n v="233"/>
    <n v="233"/>
    <n v="699"/>
    <n v="233"/>
    <n v="233"/>
    <n v="233"/>
    <n v="699"/>
    <n v="702"/>
    <n v="1165"/>
    <n v="1392"/>
    <n v="1165"/>
    <n v="6297"/>
    <x v="0"/>
    <x v="1"/>
    <n v="0.51207240718896141"/>
    <e v="#N/A"/>
    <n v="0"/>
    <n v="0"/>
  </r>
  <r>
    <n v="338"/>
    <x v="2"/>
    <s v="West Bengal"/>
    <s v="Durgapur"/>
    <n v="8576"/>
    <x v="0"/>
    <n v="460"/>
    <n v="460"/>
    <n v="460"/>
    <n v="1380"/>
    <n v="460"/>
    <n v="460"/>
    <n v="460"/>
    <n v="1380"/>
    <n v="460"/>
    <n v="460"/>
    <n v="460"/>
    <n v="1380"/>
    <n v="460"/>
    <n v="460"/>
    <n v="460"/>
    <n v="1380"/>
    <n v="460"/>
    <n v="460"/>
    <n v="460"/>
    <n v="1380"/>
    <n v="1380"/>
    <n v="2300"/>
    <n v="2196"/>
    <n v="2300"/>
    <n v="12420"/>
    <x v="0"/>
    <x v="1"/>
    <n v="0.22939182136653025"/>
    <n v="1.8101331612810724E-2"/>
    <n v="0"/>
    <n v="0"/>
  </r>
  <r>
    <n v="339"/>
    <x v="2"/>
    <s v="West Bengal"/>
    <s v="Durgapur"/>
    <n v="8575"/>
    <x v="0"/>
    <n v="356"/>
    <n v="356"/>
    <n v="356"/>
    <n v="1068"/>
    <n v="356"/>
    <n v="356"/>
    <n v="356"/>
    <n v="1068"/>
    <n v="356"/>
    <n v="356"/>
    <n v="356"/>
    <n v="1068"/>
    <n v="356"/>
    <n v="356"/>
    <n v="356"/>
    <n v="1068"/>
    <n v="356"/>
    <n v="356"/>
    <n v="356"/>
    <n v="1068"/>
    <n v="1068"/>
    <n v="1780"/>
    <n v="1862"/>
    <n v="1780"/>
    <n v="9612"/>
    <x v="0"/>
    <x v="1"/>
    <n v="0.629593899928654"/>
    <n v="0"/>
    <n v="0"/>
    <n v="0"/>
  </r>
  <r>
    <n v="340"/>
    <x v="2"/>
    <s v="West Bengal"/>
    <s v="Kalyani"/>
    <n v="7866"/>
    <x v="1"/>
    <n v="438"/>
    <n v="438"/>
    <n v="438"/>
    <n v="1314"/>
    <n v="438"/>
    <n v="438"/>
    <n v="438"/>
    <n v="1314"/>
    <n v="438"/>
    <n v="438"/>
    <n v="438"/>
    <n v="1314"/>
    <n v="438"/>
    <n v="438"/>
    <n v="438"/>
    <n v="1314"/>
    <n v="438"/>
    <n v="438"/>
    <n v="438"/>
    <n v="1314"/>
    <n v="1314"/>
    <n v="2190"/>
    <n v="1982"/>
    <n v="2190"/>
    <n v="11826"/>
    <x v="0"/>
    <x v="0"/>
    <n v="0.41638334520185516"/>
    <n v="0"/>
    <n v="1"/>
    <n v="0"/>
  </r>
  <r>
    <n v="341"/>
    <x v="2"/>
    <s v="West Bengal"/>
    <s v="Kolkata"/>
    <n v="8481"/>
    <x v="1"/>
    <n v="230"/>
    <n v="230"/>
    <n v="230"/>
    <n v="690"/>
    <n v="230"/>
    <n v="230"/>
    <n v="230"/>
    <n v="690"/>
    <n v="230"/>
    <n v="230"/>
    <n v="230"/>
    <n v="690"/>
    <n v="230"/>
    <n v="230"/>
    <n v="230"/>
    <n v="690"/>
    <n v="230"/>
    <n v="230"/>
    <n v="230"/>
    <n v="690"/>
    <n v="690"/>
    <n v="1150"/>
    <n v="1150"/>
    <n v="1150"/>
    <n v="6210"/>
    <x v="1"/>
    <x v="0"/>
    <n v="0.5219642795532593"/>
    <e v="#N/A"/>
    <n v="0"/>
    <n v="0"/>
  </r>
  <r>
    <n v="342"/>
    <x v="2"/>
    <s v="West Bengal"/>
    <s v="Kolkata"/>
    <n v="8419"/>
    <x v="1"/>
    <n v="230"/>
    <n v="230"/>
    <n v="230"/>
    <n v="690"/>
    <n v="230"/>
    <n v="230"/>
    <n v="230"/>
    <n v="690"/>
    <n v="230"/>
    <n v="230"/>
    <n v="230"/>
    <n v="690"/>
    <n v="230"/>
    <n v="230"/>
    <n v="230"/>
    <n v="690"/>
    <n v="230"/>
    <n v="230"/>
    <n v="230"/>
    <n v="690"/>
    <n v="690"/>
    <n v="1150"/>
    <n v="4261"/>
    <n v="1150"/>
    <n v="6210"/>
    <x v="0"/>
    <x v="0"/>
    <n v="0.7262519863002298"/>
    <n v="0"/>
    <n v="0"/>
    <n v="0"/>
  </r>
  <r>
    <n v="343"/>
    <x v="6"/>
    <s v="West Bengal"/>
    <s v="Kolkata"/>
    <n v="718"/>
    <x v="2"/>
    <n v="3343"/>
    <n v="3341"/>
    <n v="3339"/>
    <n v="10023"/>
    <n v="3342"/>
    <n v="3342"/>
    <n v="3342"/>
    <n v="10026"/>
    <n v="3342"/>
    <n v="3342"/>
    <n v="3342"/>
    <n v="10026"/>
    <n v="3342"/>
    <n v="3342"/>
    <n v="3342"/>
    <n v="10026"/>
    <n v="3338"/>
    <n v="3343"/>
    <n v="3343"/>
    <n v="10024"/>
    <n v="10026"/>
    <n v="16705"/>
    <n v="13549"/>
    <n v="16708"/>
    <n v="90226"/>
    <x v="0"/>
    <x v="1"/>
    <n v="3.6147489089415341E-2"/>
    <n v="0"/>
    <n v="0"/>
    <n v="0"/>
  </r>
  <r>
    <n v="344"/>
    <x v="2"/>
    <s v="West Bengal"/>
    <s v="Kolkata"/>
    <n v="8366"/>
    <x v="0"/>
    <n v="180"/>
    <n v="180"/>
    <n v="180"/>
    <n v="540"/>
    <n v="180"/>
    <n v="180"/>
    <n v="180"/>
    <n v="540"/>
    <n v="180"/>
    <n v="180"/>
    <n v="180"/>
    <n v="540"/>
    <n v="180"/>
    <n v="180"/>
    <n v="180"/>
    <n v="540"/>
    <n v="180"/>
    <n v="180"/>
    <n v="180"/>
    <n v="540"/>
    <n v="540"/>
    <n v="900"/>
    <n v="842"/>
    <n v="900"/>
    <n v="4860"/>
    <x v="1"/>
    <x v="1"/>
    <n v="0.41939751792727642"/>
    <n v="0"/>
    <n v="0"/>
    <n v="0"/>
  </r>
  <r>
    <n v="345"/>
    <x v="2"/>
    <s v="West Bengal"/>
    <s v="Siliguri"/>
    <n v="7966"/>
    <x v="0"/>
    <n v="122"/>
    <n v="122"/>
    <n v="122"/>
    <n v="366"/>
    <n v="122"/>
    <n v="122"/>
    <n v="122"/>
    <n v="366"/>
    <n v="122"/>
    <n v="122"/>
    <n v="122"/>
    <n v="366"/>
    <n v="122"/>
    <n v="122"/>
    <n v="122"/>
    <n v="366"/>
    <n v="122"/>
    <n v="122"/>
    <n v="122"/>
    <n v="366"/>
    <n v="366"/>
    <n v="610"/>
    <n v="1104"/>
    <n v="610"/>
    <n v="3294"/>
    <x v="0"/>
    <x v="0"/>
    <n v="0.54423775781600869"/>
    <n v="2.1413378581841645E-2"/>
    <n v="0"/>
    <n v="0"/>
  </r>
  <r>
    <n v="346"/>
    <x v="2"/>
    <s v="West Bengal"/>
    <s v="Siliguri"/>
    <n v="1266"/>
    <x v="1"/>
    <n v="621"/>
    <n v="616"/>
    <n v="614"/>
    <n v="1851"/>
    <n v="612"/>
    <n v="611"/>
    <n v="611"/>
    <n v="1834"/>
    <n v="610"/>
    <n v="610"/>
    <n v="610"/>
    <n v="1830"/>
    <n v="610"/>
    <n v="610"/>
    <n v="610"/>
    <n v="1830"/>
    <n v="610"/>
    <n v="608"/>
    <n v="605"/>
    <n v="1823"/>
    <n v="1851"/>
    <n v="3058"/>
    <n v="2944"/>
    <n v="3050"/>
    <n v="16513"/>
    <x v="0"/>
    <x v="0"/>
    <n v="0.95154640530872459"/>
    <n v="1.5550450609648348E-2"/>
    <n v="0"/>
    <n v="0"/>
  </r>
  <r>
    <n v="347"/>
    <x v="2"/>
    <s v="West Bengal"/>
    <s v="Siliguri"/>
    <n v="30677"/>
    <x v="0"/>
    <n v="505"/>
    <n v="505"/>
    <n v="505"/>
    <n v="1515"/>
    <n v="505"/>
    <n v="505"/>
    <n v="505"/>
    <n v="1515"/>
    <n v="505"/>
    <n v="505"/>
    <n v="505"/>
    <n v="1515"/>
    <n v="505"/>
    <n v="505"/>
    <n v="505"/>
    <n v="1515"/>
    <n v="505"/>
    <n v="505"/>
    <n v="505"/>
    <n v="1515"/>
    <n v="1515"/>
    <n v="2525"/>
    <n v="2020"/>
    <n v="2525"/>
    <n v="13635"/>
    <x v="1"/>
    <x v="1"/>
    <n v="0.23197362192775661"/>
    <n v="3.2284233456020432E-2"/>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9D4AF-494F-4426-A91E-7D4D3B21439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1:L79" firstHeaderRow="0"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dataField="1" showAll="0"/>
    <pivotField showAll="0"/>
    <pivotField showAll="0"/>
    <pivotField showAll="0"/>
    <pivotField dataField="1" showAll="0"/>
    <pivotField showAll="0"/>
    <pivotField showAll="0"/>
    <pivotField showAll="0"/>
    <pivotField dataField="1"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numFmtId="164" showAll="0"/>
    <pivotField showAll="0"/>
    <pivotField showAll="0"/>
  </pivotFields>
  <rowFields count="1">
    <field x="1"/>
  </rowFields>
  <rowItems count="8">
    <i>
      <x v="10"/>
    </i>
    <i>
      <x v="11"/>
    </i>
    <i>
      <x v="12"/>
    </i>
    <i>
      <x v="13"/>
    </i>
    <i>
      <x v="14"/>
    </i>
    <i>
      <x v="15"/>
    </i>
    <i>
      <x v="16"/>
    </i>
    <i t="grand">
      <x/>
    </i>
  </rowItems>
  <colFields count="1">
    <field x="-2"/>
  </colFields>
  <colItems count="5">
    <i>
      <x/>
    </i>
    <i i="1">
      <x v="1"/>
    </i>
    <i i="2">
      <x v="2"/>
    </i>
    <i i="3">
      <x v="3"/>
    </i>
    <i i="4">
      <x v="4"/>
    </i>
  </colItems>
  <dataFields count="5">
    <dataField name="Sum of 25th Nov 2024" fld="9" baseField="0" baseItem="0"/>
    <dataField name="Sum of 26th Nov 2024" fld="13" baseField="0" baseItem="0"/>
    <dataField name="Sum of 27th Nov 2024" fld="17" baseField="0" baseItem="0"/>
    <dataField name="Sum of 28th Nov 2024" fld="21" baseField="0" baseItem="0"/>
    <dataField name="Sum of 29th Nov 2024"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2719E7-F2AE-44CD-B715-FFD90AA2444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7:H45" firstHeaderRow="1"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164" showAll="0"/>
    <pivotField dataField="1" showAll="0"/>
    <pivotField showAll="0"/>
  </pivotFields>
  <rowFields count="1">
    <field x="1"/>
  </rowFields>
  <rowItems count="8">
    <i>
      <x v="10"/>
    </i>
    <i>
      <x v="11"/>
    </i>
    <i>
      <x v="12"/>
    </i>
    <i>
      <x v="13"/>
    </i>
    <i>
      <x v="14"/>
    </i>
    <i>
      <x v="15"/>
    </i>
    <i>
      <x v="16"/>
    </i>
    <i t="grand">
      <x/>
    </i>
  </rowItems>
  <colItems count="1">
    <i/>
  </colItems>
  <dataFields count="1">
    <dataField name="Sum of Power Issue" fld="3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21A64EE-B3B1-4FD6-BC03-BF1673919AE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5" firstHeaderRow="1"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164" showAll="0"/>
    <pivotField showAll="0"/>
    <pivotField dataField="1" showAll="0"/>
  </pivotFields>
  <rowFields count="1">
    <field x="1"/>
  </rowFields>
  <rowItems count="8">
    <i>
      <x v="10"/>
    </i>
    <i>
      <x v="11"/>
    </i>
    <i>
      <x v="12"/>
    </i>
    <i>
      <x v="13"/>
    </i>
    <i>
      <x v="14"/>
    </i>
    <i>
      <x v="15"/>
    </i>
    <i>
      <x v="16"/>
    </i>
    <i t="grand">
      <x/>
    </i>
  </rowItems>
  <colItems count="1">
    <i/>
  </colItems>
  <dataFields count="1">
    <dataField name="Sum of Network Issue" fld="3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DC27A4-4F40-49FC-8D3E-354C49F1DAB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2" firstHeaderRow="1" firstDataRow="2"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axis="axisCol" dataField="1" showAll="0">
      <items count="7">
        <item m="1" x="4"/>
        <item m="1" x="3"/>
        <item m="1" x="5"/>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numFmtId="164" showAll="0"/>
    <pivotField showAll="0"/>
    <pivotField showAll="0"/>
  </pivotFields>
  <rowFields count="1">
    <field x="1"/>
  </rowFields>
  <rowItems count="8">
    <i>
      <x v="10"/>
    </i>
    <i>
      <x v="11"/>
    </i>
    <i>
      <x v="12"/>
    </i>
    <i>
      <x v="13"/>
    </i>
    <i>
      <x v="14"/>
    </i>
    <i>
      <x v="15"/>
    </i>
    <i>
      <x v="16"/>
    </i>
    <i t="grand">
      <x/>
    </i>
  </rowItems>
  <colFields count="1">
    <field x="5"/>
  </colFields>
  <colItems count="4">
    <i>
      <x v="3"/>
    </i>
    <i>
      <x v="4"/>
    </i>
    <i>
      <x v="5"/>
    </i>
    <i t="grand">
      <x/>
    </i>
  </colItems>
  <dataFields count="1">
    <dataField name="Count of TC Typ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76648A-43BC-4942-9DD8-9E58713D1F5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1:J30" firstHeaderRow="1" firstDataRow="2"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numFmtId="9" showAll="0"/>
    <pivotField numFmtId="164" showAll="0"/>
    <pivotField showAll="0"/>
    <pivotField showAll="0"/>
  </pivotFields>
  <rowFields count="1">
    <field x="1"/>
  </rowFields>
  <rowItems count="8">
    <i>
      <x v="10"/>
    </i>
    <i>
      <x v="11"/>
    </i>
    <i>
      <x v="12"/>
    </i>
    <i>
      <x v="13"/>
    </i>
    <i>
      <x v="14"/>
    </i>
    <i>
      <x v="15"/>
    </i>
    <i>
      <x v="16"/>
    </i>
    <i t="grand">
      <x/>
    </i>
  </rowItems>
  <colFields count="1">
    <field x="32"/>
  </colFields>
  <colItems count="3">
    <i>
      <x/>
    </i>
    <i>
      <x v="1"/>
    </i>
    <i t="grand">
      <x/>
    </i>
  </colItems>
  <dataFields count="1">
    <dataField name="Count of Power Compliance" fld="3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259916-D0A6-42AF-913B-4119F0CEE2D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1:D79" firstHeaderRow="0"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numFmtId="9" showAll="0"/>
    <pivotField numFmtId="164" showAll="0"/>
    <pivotField showAll="0"/>
    <pivotField showAll="0"/>
  </pivotFields>
  <rowFields count="1">
    <field x="1"/>
  </rowFields>
  <rowItems count="8">
    <i>
      <x v="10"/>
    </i>
    <i>
      <x v="11"/>
    </i>
    <i>
      <x v="12"/>
    </i>
    <i>
      <x v="13"/>
    </i>
    <i>
      <x v="14"/>
    </i>
    <i>
      <x v="15"/>
    </i>
    <i>
      <x v="16"/>
    </i>
    <i t="grand">
      <x/>
    </i>
  </rowItems>
  <colFields count="1">
    <field x="-2"/>
  </colFields>
  <colItems count="3">
    <i>
      <x/>
    </i>
    <i i="1">
      <x v="1"/>
    </i>
    <i i="2">
      <x v="2"/>
    </i>
  </colItems>
  <dataFields count="3">
    <dataField name="Sum of Total Shift 1" fld="27" baseField="0" baseItem="0"/>
    <dataField name="Sum of Total Shift 2" fld="28" baseField="0" baseItem="0"/>
    <dataField name="Sum of Total Shift 3" fld="2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D5E234-E356-468C-9C30-363CB076E8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5:H63" firstHeaderRow="1"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dataField="1" numFmtId="164" showAll="0"/>
    <pivotField showAll="0"/>
    <pivotField showAll="0"/>
  </pivotFields>
  <rowFields count="1">
    <field x="1"/>
  </rowFields>
  <rowItems count="8">
    <i>
      <x v="10"/>
    </i>
    <i>
      <x v="11"/>
    </i>
    <i>
      <x v="12"/>
    </i>
    <i>
      <x v="13"/>
    </i>
    <i>
      <x v="14"/>
    </i>
    <i>
      <x v="15"/>
    </i>
    <i>
      <x v="16"/>
    </i>
    <i t="grand">
      <x/>
    </i>
  </rowItems>
  <colItems count="1">
    <i/>
  </colItems>
  <dataFields count="1">
    <dataField name="Average of Lock%" fld="34" subtotal="average" baseField="1" baseItem="0"/>
  </dataFields>
  <formats count="2">
    <format dxfId="2">
      <pivotArea collapsedLevelsAreSubtotals="1" fieldPosition="0">
        <references count="1">
          <reference field="1" count="0"/>
        </references>
      </pivotArea>
    </format>
    <format dxfId="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7CD8A91-C5E9-42FE-8B79-B32AC2B45C5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30" firstHeaderRow="1" firstDataRow="2"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3">
        <item x="0"/>
        <item x="1"/>
        <item t="default"/>
      </items>
    </pivotField>
    <pivotField showAll="0"/>
    <pivotField numFmtId="9" showAll="0"/>
    <pivotField numFmtId="164" showAll="0"/>
    <pivotField showAll="0"/>
    <pivotField showAll="0"/>
  </pivotFields>
  <rowFields count="1">
    <field x="1"/>
  </rowFields>
  <rowItems count="8">
    <i>
      <x v="10"/>
    </i>
    <i>
      <x v="11"/>
    </i>
    <i>
      <x v="12"/>
    </i>
    <i>
      <x v="13"/>
    </i>
    <i>
      <x v="14"/>
    </i>
    <i>
      <x v="15"/>
    </i>
    <i>
      <x v="16"/>
    </i>
    <i t="grand">
      <x/>
    </i>
  </rowItems>
  <colFields count="1">
    <field x="31"/>
  </colFields>
  <colItems count="3">
    <i>
      <x/>
    </i>
    <i>
      <x v="1"/>
    </i>
    <i t="grand">
      <x/>
    </i>
  </colItems>
  <dataFields count="1">
    <dataField name="Count of Network Compliance" fld="3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6960BA8-952A-44C8-9DC9-EF1DDFF801C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5:B63" firstHeaderRow="1"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numFmtId="164" showAll="0"/>
    <pivotField showAll="0"/>
    <pivotField showAll="0"/>
  </pivotFields>
  <rowFields count="1">
    <field x="1"/>
  </rowFields>
  <rowItems count="8">
    <i>
      <x v="10"/>
    </i>
    <i>
      <x v="11"/>
    </i>
    <i>
      <x v="12"/>
    </i>
    <i>
      <x v="13"/>
    </i>
    <i>
      <x v="14"/>
    </i>
    <i>
      <x v="15"/>
    </i>
    <i>
      <x v="16"/>
    </i>
    <i t="grand">
      <x/>
    </i>
  </rowItems>
  <colItems count="1">
    <i/>
  </colItems>
  <dataFields count="1">
    <dataField name="Average of Attendence %" fld="33" subtotal="average" baseField="1" baseItem="13" numFmtId="9"/>
  </dataFields>
  <formats count="2">
    <format dxfId="0">
      <pivotArea collapsedLevelsAreSubtotals="1" fieldPosition="0">
        <references count="1">
          <reference field="1" count="0"/>
        </references>
      </pivotArea>
    </format>
    <format dxfId="1">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EA3A468-035B-4DA3-8024-4AC56EE659C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4:B102" firstHeaderRow="1" firstDataRow="1" firstDataCol="1"/>
  <pivotFields count="37">
    <pivotField showAll="0"/>
    <pivotField axis="axisRow" showAll="0">
      <items count="18">
        <item m="1" x="7"/>
        <item m="1" x="8"/>
        <item m="1" x="9"/>
        <item m="1" x="10"/>
        <item m="1" x="11"/>
        <item m="1" x="12"/>
        <item m="1" x="13"/>
        <item m="1" x="14"/>
        <item m="1" x="15"/>
        <item m="1" x="16"/>
        <item x="2"/>
        <item x="4"/>
        <item x="1"/>
        <item x="3"/>
        <item x="5"/>
        <item x="0"/>
        <item x="6"/>
        <item t="default"/>
      </items>
    </pivotField>
    <pivotField showAll="0"/>
    <pivotField showAll="0"/>
    <pivotField showAll="0"/>
    <pivotField showAll="0">
      <items count="7">
        <item m="1" x="4"/>
        <item m="1" x="3"/>
        <item x="1"/>
        <item x="0"/>
        <item m="1" x="5"/>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9" showAll="0"/>
    <pivotField numFmtId="164" showAll="0"/>
    <pivotField showAll="0"/>
    <pivotField showAll="0"/>
  </pivotFields>
  <rowFields count="1">
    <field x="1"/>
  </rowFields>
  <rowItems count="8">
    <i>
      <x v="10"/>
    </i>
    <i>
      <x v="11"/>
    </i>
    <i>
      <x v="12"/>
    </i>
    <i>
      <x v="13"/>
    </i>
    <i>
      <x v="14"/>
    </i>
    <i>
      <x v="15"/>
    </i>
    <i>
      <x v="16"/>
    </i>
    <i t="grand">
      <x/>
    </i>
  </rowItems>
  <colItems count="1">
    <i/>
  </colItems>
  <dataFields count="1">
    <dataField name="Max of Max Count" fld="26" subtotal="max" baseField="1" baseItem="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3E975B21-6002-468B-9485-28E2A9EA3C2A}" sourceName="Zone">
  <pivotTables>
    <pivotTable tabId="4" name="PivotTable2"/>
    <pivotTable tabId="4" name="PivotTable3"/>
    <pivotTable tabId="4" name="PivotTable4"/>
    <pivotTable tabId="4" name="PivotTable5"/>
    <pivotTable tabId="4" name="PivotTable6"/>
    <pivotTable tabId="4" name="PivotTable7"/>
    <pivotTable tabId="4" name="PivotTable1"/>
    <pivotTable tabId="4" name="PivotTable8"/>
    <pivotTable tabId="4" name="PivotTable9"/>
    <pivotTable tabId="4" name="PivotTable14"/>
  </pivotTables>
  <data>
    <tabular pivotCacheId="1028433945" showMissing="0">
      <items count="17">
        <i x="5" s="1"/>
        <i x="2" s="1"/>
        <i x="6" s="1"/>
        <i x="4" s="1"/>
        <i x="0" s="1"/>
        <i x="1" s="1"/>
        <i x="3" s="1"/>
        <i x="7" s="1" nd="1"/>
        <i x="8" s="1" nd="1"/>
        <i x="9" s="1" nd="1"/>
        <i x="10" s="1" nd="1"/>
        <i x="11" s="1" nd="1"/>
        <i x="12" s="1" nd="1"/>
        <i x="13" s="1" nd="1"/>
        <i x="14" s="1" nd="1"/>
        <i x="15" s="1" nd="1"/>
        <i x="1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C_Type" xr10:uid="{342158DC-A31F-4D05-B08B-D4A90280D3D0}" sourceName="TC Type">
  <pivotTables>
    <pivotTable tabId="4" name="PivotTable2"/>
    <pivotTable tabId="4" name="PivotTable3"/>
    <pivotTable tabId="4" name="PivotTable4"/>
    <pivotTable tabId="4" name="PivotTable5"/>
    <pivotTable tabId="4" name="PivotTable6"/>
    <pivotTable tabId="4" name="PivotTable7"/>
    <pivotTable tabId="4" name="PivotTable1"/>
    <pivotTable tabId="4" name="PivotTable8"/>
    <pivotTable tabId="4" name="PivotTable9"/>
    <pivotTable tabId="4" name="PivotTable14"/>
  </pivotTables>
  <data>
    <tabular pivotCacheId="1028433945" showMissing="0">
      <items count="6">
        <i x="1" s="1"/>
        <i x="0" s="1"/>
        <i x="2" s="1"/>
        <i x="4" s="1" nd="1"/>
        <i x="3"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1" xr10:uid="{6409B1FC-7A21-4B90-853D-72BEF1C5FAB8}" cache="Slicer_Zone" caption="Zone" style="Slicer Style 1" rowHeight="241300"/>
  <slicer name="TC Type 1" xr10:uid="{DF0B1D50-4123-4CE6-AA69-87DDF5F54B79}" cache="Slicer_TC_Type" caption="TC 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Zone" xr10:uid="{F6A08D7E-2EF3-46D5-8456-77D8653931EB}" cache="Slicer_Zone" caption="Zone" rowHeight="241300"/>
  <slicer name="TC Type" xr10:uid="{510F5EC6-0A74-4852-88F8-6D03E8AF8A7C}" cache="Slicer_TC_Type" caption="TC Typ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8EF2-0E69-47C0-B48B-9972453B0C1C}">
  <sheetPr codeName="Sheet1"/>
  <dimension ref="A1:A38"/>
  <sheetViews>
    <sheetView showGridLines="0" tabSelected="1" zoomScaleNormal="100" workbookViewId="0">
      <selection activeCell="I34" sqref="I34"/>
    </sheetView>
  </sheetViews>
  <sheetFormatPr defaultRowHeight="15" x14ac:dyDescent="0.25"/>
  <cols>
    <col min="1" max="16384" width="9.140625" style="24"/>
  </cols>
  <sheetData>
    <row r="1" s="24" customFormat="1" x14ac:dyDescent="0.25"/>
    <row r="2" s="24" customFormat="1" x14ac:dyDescent="0.25"/>
    <row r="3" s="24" customFormat="1" x14ac:dyDescent="0.25"/>
    <row r="4" s="24" customFormat="1" x14ac:dyDescent="0.25"/>
    <row r="5" s="24" customFormat="1" x14ac:dyDescent="0.25"/>
    <row r="6" s="24" customFormat="1" x14ac:dyDescent="0.25"/>
    <row r="7" s="24" customFormat="1" x14ac:dyDescent="0.25"/>
    <row r="8" s="24" customFormat="1" x14ac:dyDescent="0.25"/>
    <row r="9" s="24" customFormat="1" x14ac:dyDescent="0.25"/>
    <row r="10" s="24" customFormat="1" x14ac:dyDescent="0.25"/>
    <row r="38" spans="1:1" hidden="1" x14ac:dyDescent="0.25">
      <c r="A38" s="28" t="b">
        <v>1</v>
      </c>
    </row>
  </sheetData>
  <sheetProtection algorithmName="SHA-512" hashValue="was/1Ru5jwH3//ntf1jw3J3ZdhtXnhlDe33+XDAgqvuNYzsmE+wo2KI+qubMSpKi5BMp7b1sWvJlqHUG2ynQ2w==" saltValue="CAQZLlOh2jbFN9CLaLsfig==" spinCount="100000" sheet="1" objects="1" scenario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08FB3-BC49-4F5C-BC52-1049F37C2AC7}">
  <sheetPr codeName="Sheet2"/>
  <dimension ref="A3:Y102"/>
  <sheetViews>
    <sheetView topLeftCell="A22" workbookViewId="0">
      <selection activeCell="I34" sqref="I34"/>
    </sheetView>
  </sheetViews>
  <sheetFormatPr defaultRowHeight="15" x14ac:dyDescent="0.25"/>
  <cols>
    <col min="1" max="1" width="13.140625" bestFit="1" customWidth="1"/>
    <col min="2" max="2" width="17.42578125" bestFit="1" customWidth="1"/>
    <col min="3" max="4" width="18.28515625" bestFit="1" customWidth="1"/>
    <col min="5" max="5" width="11.28515625" bestFit="1" customWidth="1"/>
    <col min="6" max="6" width="26.85546875" customWidth="1"/>
    <col min="7" max="7" width="13.140625" bestFit="1" customWidth="1"/>
    <col min="8" max="12" width="20.140625" bestFit="1" customWidth="1"/>
    <col min="13" max="13" width="7.140625" bestFit="1" customWidth="1"/>
    <col min="14" max="14" width="16.7109375" customWidth="1"/>
    <col min="15" max="15" width="21" customWidth="1"/>
    <col min="16" max="16" width="9.85546875" customWidth="1"/>
    <col min="17" max="17" width="13.7109375" customWidth="1"/>
    <col min="18" max="18" width="7.140625" customWidth="1"/>
    <col min="19" max="19" width="4.7109375" customWidth="1"/>
    <col min="20" max="20" width="15.7109375" customWidth="1"/>
    <col min="21" max="21" width="11.85546875" customWidth="1"/>
    <col min="22" max="22" width="12" customWidth="1"/>
    <col min="23" max="24" width="7.140625" bestFit="1" customWidth="1"/>
    <col min="25" max="25" width="8" bestFit="1" customWidth="1"/>
    <col min="26" max="180" width="7.140625" bestFit="1" customWidth="1"/>
    <col min="181" max="181" width="11.28515625" bestFit="1" customWidth="1"/>
  </cols>
  <sheetData>
    <row r="3" spans="1:22" x14ac:dyDescent="0.25">
      <c r="A3" s="14" t="s">
        <v>203</v>
      </c>
      <c r="B3" s="14" t="s">
        <v>202</v>
      </c>
    </row>
    <row r="4" spans="1:22" x14ac:dyDescent="0.25">
      <c r="A4" s="14" t="s">
        <v>200</v>
      </c>
      <c r="B4" t="s">
        <v>241</v>
      </c>
      <c r="C4" t="s">
        <v>240</v>
      </c>
      <c r="D4" t="s">
        <v>242</v>
      </c>
      <c r="E4" t="s">
        <v>201</v>
      </c>
    </row>
    <row r="5" spans="1:22" x14ac:dyDescent="0.25">
      <c r="A5" s="15" t="s">
        <v>236</v>
      </c>
      <c r="B5">
        <v>60</v>
      </c>
      <c r="C5">
        <v>26</v>
      </c>
      <c r="E5">
        <v>86</v>
      </c>
    </row>
    <row r="6" spans="1:22" x14ac:dyDescent="0.25">
      <c r="A6" s="15" t="s">
        <v>237</v>
      </c>
      <c r="B6">
        <v>63</v>
      </c>
      <c r="C6">
        <v>24</v>
      </c>
      <c r="D6">
        <v>6</v>
      </c>
      <c r="E6">
        <v>93</v>
      </c>
    </row>
    <row r="7" spans="1:22" x14ac:dyDescent="0.25">
      <c r="A7" s="15" t="s">
        <v>238</v>
      </c>
      <c r="B7">
        <v>12</v>
      </c>
      <c r="C7">
        <v>40</v>
      </c>
      <c r="D7">
        <v>2</v>
      </c>
      <c r="E7">
        <v>54</v>
      </c>
      <c r="O7" s="34" t="s">
        <v>193</v>
      </c>
      <c r="P7" s="34"/>
      <c r="Q7" s="34"/>
      <c r="R7" s="18"/>
      <c r="S7" s="18"/>
      <c r="T7" t="s">
        <v>194</v>
      </c>
    </row>
    <row r="8" spans="1:22" x14ac:dyDescent="0.25">
      <c r="A8" s="15" t="s">
        <v>239</v>
      </c>
      <c r="B8">
        <v>21</v>
      </c>
      <c r="C8">
        <v>27</v>
      </c>
      <c r="D8">
        <v>2</v>
      </c>
      <c r="E8">
        <v>50</v>
      </c>
      <c r="O8" s="21" t="s">
        <v>198</v>
      </c>
      <c r="P8" s="22">
        <f>IF(ToggleValue=TRUE,GETPIVOTDATA("Network Compliance",$A$21,"Network Compliance","Compliant"),"")</f>
        <v>234</v>
      </c>
      <c r="Q8" s="23">
        <f>IFERROR(P8/$P$10,"")</f>
        <v>0.67435158501440917</v>
      </c>
      <c r="T8" s="21" t="s">
        <v>198</v>
      </c>
      <c r="U8" s="22">
        <f>IF(ToggleValue=TRUE,GETPIVOTDATA("Power Compliance",$G$21,"Power Compliance","Compliant"),"")</f>
        <v>229</v>
      </c>
      <c r="V8" s="23">
        <f>IFERROR(U8/$U$10,"")</f>
        <v>0.65994236311239196</v>
      </c>
    </row>
    <row r="9" spans="1:22" x14ac:dyDescent="0.25">
      <c r="A9" s="15" t="s">
        <v>243</v>
      </c>
      <c r="B9">
        <v>39</v>
      </c>
      <c r="C9">
        <v>12</v>
      </c>
      <c r="E9">
        <v>51</v>
      </c>
      <c r="O9" s="16" t="s">
        <v>199</v>
      </c>
      <c r="P9" s="22">
        <f>IF(ToggleValue=TRUE,GETPIVOTDATA("Network Compliance",$A$21,"Network Compliance","Non Compliant"),"")</f>
        <v>113</v>
      </c>
      <c r="Q9" s="23">
        <f>P9/$P$10</f>
        <v>0.32564841498559077</v>
      </c>
      <c r="T9" s="16" t="s">
        <v>199</v>
      </c>
      <c r="U9" s="22">
        <f>IF(ToggleValue=TRUE,GETPIVOTDATA("Power Compliance",$G$21,"Power Compliance","Non Compliant"),"")</f>
        <v>118</v>
      </c>
      <c r="V9" s="23">
        <f>U9/$U$10</f>
        <v>0.34005763688760809</v>
      </c>
    </row>
    <row r="10" spans="1:22" x14ac:dyDescent="0.25">
      <c r="A10" s="15" t="s">
        <v>244</v>
      </c>
      <c r="B10">
        <v>3</v>
      </c>
      <c r="C10">
        <v>9</v>
      </c>
      <c r="E10">
        <v>12</v>
      </c>
      <c r="O10" s="16" t="s">
        <v>201</v>
      </c>
      <c r="P10">
        <f>GETPIVOTDATA("Network Compliance",$A$21)</f>
        <v>347</v>
      </c>
      <c r="T10" s="16" t="s">
        <v>201</v>
      </c>
      <c r="U10">
        <f>GETPIVOTDATA("Power Compliance",$G$21)</f>
        <v>347</v>
      </c>
    </row>
    <row r="11" spans="1:22" x14ac:dyDescent="0.25">
      <c r="A11" s="15" t="s">
        <v>245</v>
      </c>
      <c r="D11">
        <v>1</v>
      </c>
      <c r="E11">
        <v>1</v>
      </c>
      <c r="O11" s="15"/>
    </row>
    <row r="12" spans="1:22" x14ac:dyDescent="0.25">
      <c r="A12" s="15" t="s">
        <v>201</v>
      </c>
      <c r="B12">
        <v>198</v>
      </c>
      <c r="C12">
        <v>138</v>
      </c>
      <c r="D12">
        <v>11</v>
      </c>
      <c r="E12">
        <v>347</v>
      </c>
      <c r="O12" s="15"/>
    </row>
    <row r="13" spans="1:22" x14ac:dyDescent="0.25">
      <c r="O13" s="15"/>
    </row>
    <row r="14" spans="1:22" x14ac:dyDescent="0.25">
      <c r="O14" s="15"/>
    </row>
    <row r="15" spans="1:22" x14ac:dyDescent="0.25">
      <c r="O15" s="15"/>
    </row>
    <row r="16" spans="1:22" x14ac:dyDescent="0.25">
      <c r="D16" t="s">
        <v>209</v>
      </c>
      <c r="E16">
        <f>IF(ToggleValue=TRUE,GETPIVOTDATA("TC Type",$A$3),"")</f>
        <v>347</v>
      </c>
      <c r="O16" s="15"/>
    </row>
    <row r="17" spans="1:25" x14ac:dyDescent="0.25">
      <c r="O17" s="15"/>
    </row>
    <row r="18" spans="1:25" x14ac:dyDescent="0.25">
      <c r="O18" s="19"/>
      <c r="P18" s="20"/>
      <c r="Q18" s="20"/>
      <c r="R18" s="20"/>
      <c r="S18" s="20"/>
    </row>
    <row r="21" spans="1:25" x14ac:dyDescent="0.25">
      <c r="A21" s="14" t="s">
        <v>204</v>
      </c>
      <c r="B21" s="14" t="s">
        <v>202</v>
      </c>
      <c r="G21" s="14" t="s">
        <v>205</v>
      </c>
      <c r="H21" s="14" t="s">
        <v>202</v>
      </c>
    </row>
    <row r="22" spans="1:25" x14ac:dyDescent="0.25">
      <c r="A22" s="14" t="s">
        <v>200</v>
      </c>
      <c r="B22" t="s">
        <v>198</v>
      </c>
      <c r="C22" t="s">
        <v>199</v>
      </c>
      <c r="D22" t="s">
        <v>201</v>
      </c>
      <c r="G22" s="14" t="s">
        <v>200</v>
      </c>
      <c r="H22" t="s">
        <v>198</v>
      </c>
      <c r="I22" t="s">
        <v>199</v>
      </c>
      <c r="J22" t="s">
        <v>201</v>
      </c>
    </row>
    <row r="23" spans="1:25" x14ac:dyDescent="0.25">
      <c r="A23" s="15" t="s">
        <v>236</v>
      </c>
      <c r="B23">
        <v>68</v>
      </c>
      <c r="C23">
        <v>18</v>
      </c>
      <c r="D23">
        <v>86</v>
      </c>
      <c r="E23" s="17">
        <f>IFERROR((B23/D23),"")</f>
        <v>0.79069767441860461</v>
      </c>
      <c r="G23" s="15" t="s">
        <v>236</v>
      </c>
      <c r="H23">
        <v>73</v>
      </c>
      <c r="I23">
        <v>13</v>
      </c>
      <c r="J23">
        <v>86</v>
      </c>
      <c r="K23" s="17">
        <f>IFERROR((H23/J23),"")</f>
        <v>0.84883720930232553</v>
      </c>
    </row>
    <row r="24" spans="1:25" x14ac:dyDescent="0.25">
      <c r="A24" s="15" t="s">
        <v>237</v>
      </c>
      <c r="B24">
        <v>50</v>
      </c>
      <c r="C24">
        <v>43</v>
      </c>
      <c r="D24">
        <v>93</v>
      </c>
      <c r="E24" s="17">
        <f t="shared" ref="E24:E33" si="0">IFERROR((B24/D24),"")</f>
        <v>0.5376344086021505</v>
      </c>
      <c r="G24" s="15" t="s">
        <v>237</v>
      </c>
      <c r="H24">
        <v>60</v>
      </c>
      <c r="I24">
        <v>33</v>
      </c>
      <c r="J24">
        <v>93</v>
      </c>
      <c r="K24" s="17">
        <f t="shared" ref="K24:K33" si="1">IFERROR((H24/J24),"")</f>
        <v>0.64516129032258063</v>
      </c>
    </row>
    <row r="25" spans="1:25" x14ac:dyDescent="0.25">
      <c r="A25" s="15" t="s">
        <v>238</v>
      </c>
      <c r="B25">
        <v>37</v>
      </c>
      <c r="C25">
        <v>17</v>
      </c>
      <c r="D25">
        <v>54</v>
      </c>
      <c r="E25" s="17">
        <f t="shared" si="0"/>
        <v>0.68518518518518523</v>
      </c>
      <c r="G25" s="15" t="s">
        <v>238</v>
      </c>
      <c r="H25">
        <v>35</v>
      </c>
      <c r="I25">
        <v>19</v>
      </c>
      <c r="J25">
        <v>54</v>
      </c>
      <c r="K25" s="17">
        <f t="shared" si="1"/>
        <v>0.64814814814814814</v>
      </c>
      <c r="O25" s="16" t="s">
        <v>219</v>
      </c>
      <c r="P25" s="16" t="s">
        <v>220</v>
      </c>
      <c r="Q25" s="16" t="s">
        <v>221</v>
      </c>
      <c r="T25" s="16" t="s">
        <v>210</v>
      </c>
      <c r="U25" s="16" t="s">
        <v>211</v>
      </c>
      <c r="V25" s="16" t="s">
        <v>212</v>
      </c>
      <c r="W25" s="16" t="s">
        <v>213</v>
      </c>
      <c r="X25" s="16" t="s">
        <v>214</v>
      </c>
      <c r="Y25" s="26" t="s">
        <v>209</v>
      </c>
    </row>
    <row r="26" spans="1:25" x14ac:dyDescent="0.25">
      <c r="A26" s="15" t="s">
        <v>239</v>
      </c>
      <c r="B26">
        <v>31</v>
      </c>
      <c r="C26">
        <v>19</v>
      </c>
      <c r="D26">
        <v>50</v>
      </c>
      <c r="E26" s="17">
        <f t="shared" si="0"/>
        <v>0.62</v>
      </c>
      <c r="G26" s="15" t="s">
        <v>239</v>
      </c>
      <c r="H26">
        <v>25</v>
      </c>
      <c r="I26">
        <v>25</v>
      </c>
      <c r="J26">
        <v>50</v>
      </c>
      <c r="K26" s="17">
        <f t="shared" si="1"/>
        <v>0.5</v>
      </c>
      <c r="O26">
        <f>IF(ToggleValue=TRUE,GETPIVOTDATA("Sum of Total Shift 1",$A$71),"")</f>
        <v>613377</v>
      </c>
      <c r="P26">
        <f>IF(ToggleValue=TRUE,GETPIVOTDATA("Sum of Total Shift 2",$A$71),"")</f>
        <v>613540</v>
      </c>
      <c r="Q26">
        <f>IF(ToggleValue=TRUE,GETPIVOTDATA("Sum of Total Shift 3",$A$71),"")</f>
        <v>613166</v>
      </c>
      <c r="T26">
        <f>IF(ToggleValue=TRUE,GETPIVOTDATA("Sum of 25th Nov 2024",$G$71),"")</f>
        <v>368716</v>
      </c>
      <c r="U26">
        <f>IF(ToggleValue=TRUE,GETPIVOTDATA("Sum of 26th Nov 2024",$G$71),"")</f>
        <v>368316</v>
      </c>
      <c r="V26">
        <f>IF(ToggleValue=TRUE,GETPIVOTDATA("Sum of 27th Nov 2024",$G$71),"")</f>
        <v>368065</v>
      </c>
      <c r="W26">
        <f>IF(ToggleValue=TRUE,GETPIVOTDATA("Sum of 28th Nov 2024",$G$71),"")</f>
        <v>368019</v>
      </c>
      <c r="X26">
        <f>IF(ToggleValue=TRUE,GETPIVOTDATA("Sum of 29th Nov 2024",$G$71),"")</f>
        <v>367231</v>
      </c>
      <c r="Y26">
        <f>SUM(T26:X26)</f>
        <v>1840347</v>
      </c>
    </row>
    <row r="27" spans="1:25" x14ac:dyDescent="0.25">
      <c r="A27" s="15" t="s">
        <v>243</v>
      </c>
      <c r="B27">
        <v>38</v>
      </c>
      <c r="C27">
        <v>13</v>
      </c>
      <c r="D27">
        <v>51</v>
      </c>
      <c r="E27" s="17">
        <f t="shared" si="0"/>
        <v>0.74509803921568629</v>
      </c>
      <c r="G27" s="15" t="s">
        <v>243</v>
      </c>
      <c r="H27">
        <v>24</v>
      </c>
      <c r="I27">
        <v>27</v>
      </c>
      <c r="J27">
        <v>51</v>
      </c>
      <c r="K27" s="17">
        <f t="shared" si="1"/>
        <v>0.47058823529411764</v>
      </c>
      <c r="T27">
        <f>T26/$Y$26</f>
        <v>0.20035134678405758</v>
      </c>
      <c r="U27">
        <f t="shared" ref="U27:X27" si="2">U26/$Y$26</f>
        <v>0.20013399646914412</v>
      </c>
      <c r="V27">
        <f t="shared" si="2"/>
        <v>0.19999760914653594</v>
      </c>
      <c r="W27">
        <f t="shared" si="2"/>
        <v>0.19997261386032092</v>
      </c>
      <c r="X27">
        <f t="shared" si="2"/>
        <v>0.19954443373994143</v>
      </c>
    </row>
    <row r="28" spans="1:25" x14ac:dyDescent="0.25">
      <c r="A28" s="15" t="s">
        <v>244</v>
      </c>
      <c r="B28">
        <v>9</v>
      </c>
      <c r="C28">
        <v>3</v>
      </c>
      <c r="D28">
        <v>12</v>
      </c>
      <c r="E28" s="17">
        <f t="shared" si="0"/>
        <v>0.75</v>
      </c>
      <c r="G28" s="15" t="s">
        <v>244</v>
      </c>
      <c r="H28">
        <v>12</v>
      </c>
      <c r="J28">
        <v>12</v>
      </c>
      <c r="K28" s="17">
        <f t="shared" si="1"/>
        <v>1</v>
      </c>
    </row>
    <row r="29" spans="1:25" x14ac:dyDescent="0.25">
      <c r="A29" s="15" t="s">
        <v>245</v>
      </c>
      <c r="B29">
        <v>1</v>
      </c>
      <c r="D29">
        <v>1</v>
      </c>
      <c r="E29" s="17">
        <f t="shared" si="0"/>
        <v>1</v>
      </c>
      <c r="G29" s="15" t="s">
        <v>245</v>
      </c>
      <c r="I29">
        <v>1</v>
      </c>
      <c r="J29">
        <v>1</v>
      </c>
      <c r="K29" s="17">
        <f t="shared" si="1"/>
        <v>0</v>
      </c>
    </row>
    <row r="30" spans="1:25" x14ac:dyDescent="0.25">
      <c r="A30" s="15" t="s">
        <v>201</v>
      </c>
      <c r="B30">
        <v>234</v>
      </c>
      <c r="C30">
        <v>113</v>
      </c>
      <c r="D30">
        <v>347</v>
      </c>
      <c r="E30" s="17">
        <f t="shared" si="0"/>
        <v>0.67435158501440917</v>
      </c>
      <c r="G30" s="15" t="s">
        <v>201</v>
      </c>
      <c r="H30">
        <v>229</v>
      </c>
      <c r="I30">
        <v>118</v>
      </c>
      <c r="J30">
        <v>347</v>
      </c>
      <c r="K30" s="17">
        <f t="shared" si="1"/>
        <v>0.65994236311239196</v>
      </c>
    </row>
    <row r="31" spans="1:25" x14ac:dyDescent="0.25">
      <c r="E31" s="17" t="str">
        <f t="shared" si="0"/>
        <v/>
      </c>
      <c r="K31" s="17" t="str">
        <f t="shared" si="1"/>
        <v/>
      </c>
    </row>
    <row r="32" spans="1:25" x14ac:dyDescent="0.25">
      <c r="E32" s="17" t="str">
        <f t="shared" si="0"/>
        <v/>
      </c>
      <c r="K32" s="17" t="str">
        <f t="shared" si="1"/>
        <v/>
      </c>
    </row>
    <row r="33" spans="1:18" x14ac:dyDescent="0.25">
      <c r="E33" s="17" t="str">
        <f t="shared" si="0"/>
        <v/>
      </c>
      <c r="K33" s="17" t="str">
        <f t="shared" si="1"/>
        <v/>
      </c>
      <c r="Q33" t="s">
        <v>233</v>
      </c>
      <c r="R33">
        <f>IF(ToggleValue=TRUE,GETPIVOTDATA("Max Count",$A$94),"")</f>
        <v>10026</v>
      </c>
    </row>
    <row r="35" spans="1:18" x14ac:dyDescent="0.25">
      <c r="Q35" t="s">
        <v>247</v>
      </c>
      <c r="R35" s="27">
        <f>IF(ToggleValue=TRUE,GETPIVOTDATA("Attendence %",$A$55),"")</f>
        <v>0.50531566937107786</v>
      </c>
    </row>
    <row r="37" spans="1:18" x14ac:dyDescent="0.25">
      <c r="A37" s="14" t="s">
        <v>200</v>
      </c>
      <c r="B37" t="s">
        <v>206</v>
      </c>
      <c r="G37" s="14" t="s">
        <v>200</v>
      </c>
      <c r="H37" t="s">
        <v>207</v>
      </c>
      <c r="J37" s="16" t="s">
        <v>197</v>
      </c>
      <c r="K37" s="16" t="s">
        <v>235</v>
      </c>
      <c r="L37" s="16"/>
      <c r="M37" s="16"/>
      <c r="N37" s="16"/>
    </row>
    <row r="38" spans="1:18" x14ac:dyDescent="0.25">
      <c r="A38" s="15" t="s">
        <v>236</v>
      </c>
      <c r="B38">
        <v>3</v>
      </c>
      <c r="G38" s="15" t="s">
        <v>236</v>
      </c>
      <c r="H38">
        <v>9</v>
      </c>
      <c r="J38">
        <f>IF(ToggleValue=TRUE,GETPIVOTDATA("Network Issue",$A$37),"")</f>
        <v>11</v>
      </c>
      <c r="K38">
        <f>IF(ToggleValue=TRUE,GETPIVOTDATA("Power Issue",$G$37),"")</f>
        <v>52</v>
      </c>
    </row>
    <row r="39" spans="1:18" x14ac:dyDescent="0.25">
      <c r="A39" s="15" t="s">
        <v>237</v>
      </c>
      <c r="B39">
        <v>1</v>
      </c>
      <c r="G39" s="15" t="s">
        <v>237</v>
      </c>
      <c r="H39">
        <v>12</v>
      </c>
      <c r="Q39" t="s">
        <v>234</v>
      </c>
      <c r="R39" s="27" t="e">
        <f>IF(ToggleValue=TRUE,GETPIVOTDATA("Lock%",$G$55),"")</f>
        <v>#N/A</v>
      </c>
    </row>
    <row r="40" spans="1:18" x14ac:dyDescent="0.25">
      <c r="A40" s="15" t="s">
        <v>238</v>
      </c>
      <c r="B40">
        <v>6</v>
      </c>
      <c r="G40" s="15" t="s">
        <v>238</v>
      </c>
      <c r="H40">
        <v>5</v>
      </c>
    </row>
    <row r="41" spans="1:18" x14ac:dyDescent="0.25">
      <c r="A41" s="15" t="s">
        <v>239</v>
      </c>
      <c r="B41">
        <v>0</v>
      </c>
      <c r="G41" s="15" t="s">
        <v>239</v>
      </c>
      <c r="H41">
        <v>16</v>
      </c>
    </row>
    <row r="42" spans="1:18" x14ac:dyDescent="0.25">
      <c r="A42" s="15" t="s">
        <v>243</v>
      </c>
      <c r="B42">
        <v>1</v>
      </c>
      <c r="G42" s="15" t="s">
        <v>243</v>
      </c>
      <c r="H42">
        <v>6</v>
      </c>
    </row>
    <row r="43" spans="1:18" x14ac:dyDescent="0.25">
      <c r="A43" s="15" t="s">
        <v>244</v>
      </c>
      <c r="B43">
        <v>0</v>
      </c>
      <c r="G43" s="15" t="s">
        <v>244</v>
      </c>
      <c r="H43">
        <v>4</v>
      </c>
    </row>
    <row r="44" spans="1:18" x14ac:dyDescent="0.25">
      <c r="A44" s="15" t="s">
        <v>245</v>
      </c>
      <c r="B44">
        <v>0</v>
      </c>
      <c r="G44" s="15" t="s">
        <v>245</v>
      </c>
      <c r="H44">
        <v>0</v>
      </c>
    </row>
    <row r="45" spans="1:18" x14ac:dyDescent="0.25">
      <c r="A45" s="15" t="s">
        <v>201</v>
      </c>
      <c r="B45">
        <v>11</v>
      </c>
      <c r="G45" s="15" t="s">
        <v>201</v>
      </c>
      <c r="H45">
        <v>52</v>
      </c>
    </row>
    <row r="55" spans="1:8" x14ac:dyDescent="0.25">
      <c r="A55" s="14" t="s">
        <v>200</v>
      </c>
      <c r="B55" t="s">
        <v>248</v>
      </c>
      <c r="G55" s="14" t="s">
        <v>200</v>
      </c>
      <c r="H55" t="s">
        <v>208</v>
      </c>
    </row>
    <row r="56" spans="1:8" x14ac:dyDescent="0.25">
      <c r="A56" s="15" t="s">
        <v>236</v>
      </c>
      <c r="B56" s="17">
        <v>0.48593178524084379</v>
      </c>
      <c r="G56" s="15" t="s">
        <v>236</v>
      </c>
      <c r="H56" s="17" t="e">
        <v>#N/A</v>
      </c>
    </row>
    <row r="57" spans="1:8" x14ac:dyDescent="0.25">
      <c r="A57" s="15" t="s">
        <v>237</v>
      </c>
      <c r="B57" s="17">
        <v>0.5462221739810933</v>
      </c>
      <c r="G57" s="15" t="s">
        <v>237</v>
      </c>
      <c r="H57" s="17" t="e">
        <v>#N/A</v>
      </c>
    </row>
    <row r="58" spans="1:8" x14ac:dyDescent="0.25">
      <c r="A58" s="15" t="s">
        <v>238</v>
      </c>
      <c r="B58" s="17">
        <v>0.46507200879971972</v>
      </c>
      <c r="G58" s="15" t="s">
        <v>238</v>
      </c>
      <c r="H58" s="17" t="e">
        <v>#N/A</v>
      </c>
    </row>
    <row r="59" spans="1:8" x14ac:dyDescent="0.25">
      <c r="A59" s="15" t="s">
        <v>239</v>
      </c>
      <c r="B59" s="17">
        <v>0.52899915949758802</v>
      </c>
      <c r="G59" s="15" t="s">
        <v>239</v>
      </c>
      <c r="H59" s="17" t="e">
        <v>#N/A</v>
      </c>
    </row>
    <row r="60" spans="1:8" x14ac:dyDescent="0.25">
      <c r="A60" s="15" t="s">
        <v>243</v>
      </c>
      <c r="B60" s="17">
        <v>0.50454718106311613</v>
      </c>
      <c r="G60" s="15" t="s">
        <v>243</v>
      </c>
      <c r="H60" s="17" t="e">
        <v>#N/A</v>
      </c>
    </row>
    <row r="61" spans="1:8" x14ac:dyDescent="0.25">
      <c r="A61" s="15" t="s">
        <v>244</v>
      </c>
      <c r="B61" s="17">
        <v>0.45198678228643069</v>
      </c>
      <c r="G61" s="15" t="s">
        <v>244</v>
      </c>
      <c r="H61" s="17" t="e">
        <v>#N/A</v>
      </c>
    </row>
    <row r="62" spans="1:8" x14ac:dyDescent="0.25">
      <c r="A62" s="15" t="s">
        <v>245</v>
      </c>
      <c r="B62" s="17">
        <v>3.6147489089415341E-2</v>
      </c>
      <c r="G62" s="15" t="s">
        <v>245</v>
      </c>
      <c r="H62" s="17">
        <v>0</v>
      </c>
    </row>
    <row r="63" spans="1:8" x14ac:dyDescent="0.25">
      <c r="A63" s="15" t="s">
        <v>201</v>
      </c>
      <c r="B63" s="17">
        <v>0.50531566937107786</v>
      </c>
      <c r="G63" s="15" t="s">
        <v>201</v>
      </c>
      <c r="H63" s="17" t="e">
        <v>#N/A</v>
      </c>
    </row>
    <row r="67" spans="1:12" x14ac:dyDescent="0.25">
      <c r="H67" s="17"/>
    </row>
    <row r="71" spans="1:12" x14ac:dyDescent="0.25">
      <c r="A71" s="14" t="s">
        <v>200</v>
      </c>
      <c r="B71" t="s">
        <v>225</v>
      </c>
      <c r="C71" t="s">
        <v>226</v>
      </c>
      <c r="D71" t="s">
        <v>227</v>
      </c>
      <c r="G71" s="14" t="s">
        <v>200</v>
      </c>
      <c r="H71" t="s">
        <v>215</v>
      </c>
      <c r="I71" t="s">
        <v>228</v>
      </c>
      <c r="J71" t="s">
        <v>229</v>
      </c>
      <c r="K71" t="s">
        <v>230</v>
      </c>
      <c r="L71" t="s">
        <v>231</v>
      </c>
    </row>
    <row r="72" spans="1:12" x14ac:dyDescent="0.25">
      <c r="A72" s="15" t="s">
        <v>236</v>
      </c>
      <c r="B72">
        <v>129777</v>
      </c>
      <c r="C72">
        <v>133935</v>
      </c>
      <c r="D72">
        <v>129662</v>
      </c>
      <c r="G72" s="15" t="s">
        <v>236</v>
      </c>
      <c r="H72">
        <v>78118</v>
      </c>
      <c r="I72">
        <v>78075</v>
      </c>
      <c r="J72">
        <v>77843</v>
      </c>
      <c r="K72">
        <v>77814</v>
      </c>
      <c r="L72">
        <v>77517</v>
      </c>
    </row>
    <row r="73" spans="1:12" x14ac:dyDescent="0.25">
      <c r="A73" s="15" t="s">
        <v>237</v>
      </c>
      <c r="B73">
        <v>175589</v>
      </c>
      <c r="C73">
        <v>174984</v>
      </c>
      <c r="D73">
        <v>175451</v>
      </c>
      <c r="G73" s="15" t="s">
        <v>237</v>
      </c>
      <c r="H73">
        <v>105374</v>
      </c>
      <c r="I73">
        <v>105363</v>
      </c>
      <c r="J73">
        <v>105363</v>
      </c>
      <c r="K73">
        <v>105363</v>
      </c>
      <c r="L73">
        <v>105168</v>
      </c>
    </row>
    <row r="74" spans="1:12" x14ac:dyDescent="0.25">
      <c r="A74" s="15" t="s">
        <v>238</v>
      </c>
      <c r="B74">
        <v>117632</v>
      </c>
      <c r="C74">
        <v>116540</v>
      </c>
      <c r="D74">
        <v>117662</v>
      </c>
      <c r="G74" s="15" t="s">
        <v>238</v>
      </c>
      <c r="H74">
        <v>70621</v>
      </c>
      <c r="I74">
        <v>70616</v>
      </c>
      <c r="J74">
        <v>70603</v>
      </c>
      <c r="K74">
        <v>70590</v>
      </c>
      <c r="L74">
        <v>70545</v>
      </c>
    </row>
    <row r="75" spans="1:12" x14ac:dyDescent="0.25">
      <c r="A75" s="15" t="s">
        <v>239</v>
      </c>
      <c r="B75">
        <v>94735</v>
      </c>
      <c r="C75">
        <v>94668</v>
      </c>
      <c r="D75">
        <v>94744</v>
      </c>
      <c r="G75" s="15" t="s">
        <v>239</v>
      </c>
      <c r="H75">
        <v>56900</v>
      </c>
      <c r="I75">
        <v>56835</v>
      </c>
      <c r="J75">
        <v>56838</v>
      </c>
      <c r="K75">
        <v>56835</v>
      </c>
      <c r="L75">
        <v>56824</v>
      </c>
    </row>
    <row r="76" spans="1:12" x14ac:dyDescent="0.25">
      <c r="A76" s="15" t="s">
        <v>243</v>
      </c>
      <c r="B76">
        <v>75822</v>
      </c>
      <c r="C76">
        <v>75595</v>
      </c>
      <c r="D76">
        <v>75825</v>
      </c>
      <c r="G76" s="15" t="s">
        <v>243</v>
      </c>
      <c r="H76">
        <v>45500</v>
      </c>
      <c r="I76">
        <v>45495</v>
      </c>
      <c r="J76">
        <v>45495</v>
      </c>
      <c r="K76">
        <v>45495</v>
      </c>
      <c r="L76">
        <v>45492</v>
      </c>
    </row>
    <row r="77" spans="1:12" x14ac:dyDescent="0.25">
      <c r="A77" s="15" t="s">
        <v>244</v>
      </c>
      <c r="B77">
        <v>3117</v>
      </c>
      <c r="C77">
        <v>4269</v>
      </c>
      <c r="D77">
        <v>3114</v>
      </c>
      <c r="G77" s="15" t="s">
        <v>244</v>
      </c>
      <c r="H77">
        <v>2180</v>
      </c>
      <c r="I77">
        <v>1906</v>
      </c>
      <c r="J77">
        <v>1897</v>
      </c>
      <c r="K77">
        <v>1896</v>
      </c>
      <c r="L77">
        <v>1661</v>
      </c>
    </row>
    <row r="78" spans="1:12" x14ac:dyDescent="0.25">
      <c r="A78" s="15" t="s">
        <v>245</v>
      </c>
      <c r="B78">
        <v>16705</v>
      </c>
      <c r="C78">
        <v>13549</v>
      </c>
      <c r="D78">
        <v>16708</v>
      </c>
      <c r="G78" s="15" t="s">
        <v>245</v>
      </c>
      <c r="H78">
        <v>10023</v>
      </c>
      <c r="I78">
        <v>10026</v>
      </c>
      <c r="J78">
        <v>10026</v>
      </c>
      <c r="K78">
        <v>10026</v>
      </c>
      <c r="L78">
        <v>10024</v>
      </c>
    </row>
    <row r="79" spans="1:12" x14ac:dyDescent="0.25">
      <c r="A79" s="15" t="s">
        <v>201</v>
      </c>
      <c r="B79">
        <v>613377</v>
      </c>
      <c r="C79">
        <v>613540</v>
      </c>
      <c r="D79">
        <v>613166</v>
      </c>
      <c r="G79" s="15" t="s">
        <v>201</v>
      </c>
      <c r="H79">
        <v>368716</v>
      </c>
      <c r="I79">
        <v>368316</v>
      </c>
      <c r="J79">
        <v>368065</v>
      </c>
      <c r="K79">
        <v>368019</v>
      </c>
      <c r="L79">
        <v>367231</v>
      </c>
    </row>
    <row r="94" spans="1:2" x14ac:dyDescent="0.25">
      <c r="A94" s="14" t="s">
        <v>200</v>
      </c>
      <c r="B94" t="s">
        <v>232</v>
      </c>
    </row>
    <row r="95" spans="1:2" x14ac:dyDescent="0.25">
      <c r="A95" s="15" t="s">
        <v>236</v>
      </c>
      <c r="B95">
        <v>3396</v>
      </c>
    </row>
    <row r="96" spans="1:2" x14ac:dyDescent="0.25">
      <c r="A96" s="15" t="s">
        <v>237</v>
      </c>
      <c r="B96">
        <v>4965</v>
      </c>
    </row>
    <row r="97" spans="1:2" x14ac:dyDescent="0.25">
      <c r="A97" s="15" t="s">
        <v>238</v>
      </c>
      <c r="B97">
        <v>2808</v>
      </c>
    </row>
    <row r="98" spans="1:2" x14ac:dyDescent="0.25">
      <c r="A98" s="15" t="s">
        <v>239</v>
      </c>
      <c r="B98">
        <v>3417</v>
      </c>
    </row>
    <row r="99" spans="1:2" x14ac:dyDescent="0.25">
      <c r="A99" s="15" t="s">
        <v>243</v>
      </c>
      <c r="B99">
        <v>2685</v>
      </c>
    </row>
    <row r="100" spans="1:2" x14ac:dyDescent="0.25">
      <c r="A100" s="15" t="s">
        <v>244</v>
      </c>
      <c r="B100">
        <v>615</v>
      </c>
    </row>
    <row r="101" spans="1:2" x14ac:dyDescent="0.25">
      <c r="A101" s="15" t="s">
        <v>245</v>
      </c>
      <c r="B101">
        <v>10026</v>
      </c>
    </row>
    <row r="102" spans="1:2" x14ac:dyDescent="0.25">
      <c r="A102" s="15" t="s">
        <v>201</v>
      </c>
      <c r="B102">
        <v>10026</v>
      </c>
    </row>
  </sheetData>
  <mergeCells count="1">
    <mergeCell ref="O7:Q7"/>
  </mergeCells>
  <phoneticPr fontId="9"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0A1D0-B4BB-44F3-918F-91A820BA2928}">
  <sheetPr codeName="Sheet3"/>
  <dimension ref="A1:AK348"/>
  <sheetViews>
    <sheetView workbookViewId="0">
      <selection activeCell="F2" sqref="F2"/>
    </sheetView>
  </sheetViews>
  <sheetFormatPr defaultRowHeight="15" x14ac:dyDescent="0.25"/>
  <cols>
    <col min="2" max="2" width="10.7109375" customWidth="1"/>
    <col min="3" max="3" width="17.42578125" customWidth="1"/>
    <col min="4" max="4" width="14.85546875" customWidth="1"/>
    <col min="5" max="5" width="14.7109375" customWidth="1"/>
    <col min="6" max="6" width="12.42578125" customWidth="1"/>
    <col min="7" max="30" width="9.140625" customWidth="1"/>
    <col min="31" max="31" width="11" customWidth="1"/>
    <col min="32" max="32" width="23.28515625" customWidth="1"/>
    <col min="33" max="33" width="16.7109375" customWidth="1"/>
    <col min="34" max="34" width="16.28515625" customWidth="1"/>
    <col min="35" max="35" width="14.5703125" customWidth="1"/>
    <col min="36" max="36" width="12.7109375" customWidth="1"/>
    <col min="37" max="37" width="12.42578125" customWidth="1"/>
  </cols>
  <sheetData>
    <row r="1" spans="1:37" ht="30" x14ac:dyDescent="0.25">
      <c r="A1" s="1" t="s">
        <v>0</v>
      </c>
      <c r="B1" s="2" t="s">
        <v>1</v>
      </c>
      <c r="C1" s="2" t="s">
        <v>2</v>
      </c>
      <c r="D1" s="2" t="s">
        <v>3</v>
      </c>
      <c r="E1" s="2" t="s">
        <v>246</v>
      </c>
      <c r="F1" s="2" t="s">
        <v>249</v>
      </c>
      <c r="G1" s="3" t="s">
        <v>216</v>
      </c>
      <c r="H1" s="3" t="s">
        <v>217</v>
      </c>
      <c r="I1" s="3" t="s">
        <v>218</v>
      </c>
      <c r="J1" s="3" t="s">
        <v>210</v>
      </c>
      <c r="K1" s="3" t="s">
        <v>216</v>
      </c>
      <c r="L1" s="3" t="s">
        <v>217</v>
      </c>
      <c r="M1" s="3" t="s">
        <v>218</v>
      </c>
      <c r="N1" s="3" t="s">
        <v>211</v>
      </c>
      <c r="O1" s="3" t="s">
        <v>216</v>
      </c>
      <c r="P1" s="3" t="s">
        <v>217</v>
      </c>
      <c r="Q1" s="3" t="s">
        <v>218</v>
      </c>
      <c r="R1" s="3" t="s">
        <v>212</v>
      </c>
      <c r="S1" s="3" t="s">
        <v>216</v>
      </c>
      <c r="T1" s="3" t="s">
        <v>217</v>
      </c>
      <c r="U1" s="3" t="s">
        <v>218</v>
      </c>
      <c r="V1" s="3" t="s">
        <v>213</v>
      </c>
      <c r="W1" s="3" t="s">
        <v>216</v>
      </c>
      <c r="X1" s="3" t="s">
        <v>217</v>
      </c>
      <c r="Y1" s="3" t="s">
        <v>218</v>
      </c>
      <c r="Z1" s="3" t="s">
        <v>214</v>
      </c>
      <c r="AA1" s="3" t="s">
        <v>4</v>
      </c>
      <c r="AB1" s="8" t="s">
        <v>222</v>
      </c>
      <c r="AC1" s="8" t="s">
        <v>223</v>
      </c>
      <c r="AD1" s="8" t="s">
        <v>224</v>
      </c>
      <c r="AE1" s="8" t="s">
        <v>192</v>
      </c>
      <c r="AF1" s="9" t="s">
        <v>193</v>
      </c>
      <c r="AG1" s="10" t="s">
        <v>194</v>
      </c>
      <c r="AH1" s="11" t="s">
        <v>247</v>
      </c>
      <c r="AI1" s="11" t="s">
        <v>195</v>
      </c>
      <c r="AJ1" s="13" t="s">
        <v>196</v>
      </c>
      <c r="AK1" s="11" t="s">
        <v>197</v>
      </c>
    </row>
    <row r="2" spans="1:37" ht="15.75" x14ac:dyDescent="0.25">
      <c r="A2" s="4">
        <v>1</v>
      </c>
      <c r="B2" s="29" t="s">
        <v>244</v>
      </c>
      <c r="C2" s="5" t="s">
        <v>28</v>
      </c>
      <c r="D2" s="5" t="s">
        <v>29</v>
      </c>
      <c r="E2" s="7">
        <v>9310</v>
      </c>
      <c r="F2" s="4" t="s">
        <v>241</v>
      </c>
      <c r="G2" s="6">
        <v>25</v>
      </c>
      <c r="H2" s="6">
        <v>25</v>
      </c>
      <c r="I2" s="6">
        <v>25</v>
      </c>
      <c r="J2" s="6">
        <v>75</v>
      </c>
      <c r="K2" s="6">
        <v>0</v>
      </c>
      <c r="L2" s="6">
        <v>0</v>
      </c>
      <c r="M2" s="6">
        <v>0</v>
      </c>
      <c r="N2" s="6">
        <v>0</v>
      </c>
      <c r="O2" s="6">
        <v>0</v>
      </c>
      <c r="P2" s="6">
        <v>0</v>
      </c>
      <c r="Q2" s="6">
        <v>0</v>
      </c>
      <c r="R2" s="6">
        <v>0</v>
      </c>
      <c r="S2" s="6">
        <v>0</v>
      </c>
      <c r="T2" s="6">
        <v>0</v>
      </c>
      <c r="U2" s="6">
        <v>0</v>
      </c>
      <c r="V2" s="6">
        <v>0</v>
      </c>
      <c r="W2" s="6">
        <v>0</v>
      </c>
      <c r="X2" s="6">
        <v>0</v>
      </c>
      <c r="Y2" s="6">
        <v>0</v>
      </c>
      <c r="Z2" s="6">
        <v>0</v>
      </c>
      <c r="AA2" s="4">
        <v>75</v>
      </c>
      <c r="AB2" s="25">
        <v>25</v>
      </c>
      <c r="AC2" s="25">
        <v>458</v>
      </c>
      <c r="AD2" s="25">
        <v>25</v>
      </c>
      <c r="AE2">
        <v>150</v>
      </c>
      <c r="AF2" t="s">
        <v>198</v>
      </c>
      <c r="AG2" t="s">
        <v>198</v>
      </c>
      <c r="AH2" s="33">
        <v>0.68891256652886923</v>
      </c>
      <c r="AI2" s="12">
        <v>6.7819148936170207E-2</v>
      </c>
      <c r="AJ2">
        <v>1</v>
      </c>
      <c r="AK2">
        <v>0</v>
      </c>
    </row>
    <row r="3" spans="1:37" ht="15.75" x14ac:dyDescent="0.25">
      <c r="A3" s="4">
        <v>2</v>
      </c>
      <c r="B3" s="5" t="s">
        <v>238</v>
      </c>
      <c r="C3" s="5" t="s">
        <v>110</v>
      </c>
      <c r="D3" s="5" t="s">
        <v>111</v>
      </c>
      <c r="E3" s="7">
        <v>8696</v>
      </c>
      <c r="F3" s="4" t="s">
        <v>241</v>
      </c>
      <c r="G3" s="6">
        <v>459</v>
      </c>
      <c r="H3" s="6">
        <v>458</v>
      </c>
      <c r="I3" s="6">
        <v>458</v>
      </c>
      <c r="J3" s="6">
        <v>1375</v>
      </c>
      <c r="K3" s="6">
        <v>458</v>
      </c>
      <c r="L3" s="6">
        <v>458</v>
      </c>
      <c r="M3" s="6">
        <v>458</v>
      </c>
      <c r="N3" s="6">
        <v>1374</v>
      </c>
      <c r="O3" s="6">
        <v>458</v>
      </c>
      <c r="P3" s="6">
        <v>458</v>
      </c>
      <c r="Q3" s="6">
        <v>458</v>
      </c>
      <c r="R3" s="6">
        <v>1374</v>
      </c>
      <c r="S3" s="6">
        <v>458</v>
      </c>
      <c r="T3" s="6">
        <v>458</v>
      </c>
      <c r="U3" s="6">
        <v>458</v>
      </c>
      <c r="V3" s="6">
        <v>1374</v>
      </c>
      <c r="W3" s="6">
        <v>458</v>
      </c>
      <c r="X3" s="6">
        <v>458</v>
      </c>
      <c r="Y3" s="6">
        <v>458</v>
      </c>
      <c r="Z3" s="6">
        <v>1374</v>
      </c>
      <c r="AA3" s="4">
        <v>1375</v>
      </c>
      <c r="AB3" s="25">
        <v>2290</v>
      </c>
      <c r="AC3" s="25">
        <v>2065</v>
      </c>
      <c r="AD3" s="25">
        <v>2290</v>
      </c>
      <c r="AE3">
        <v>12368</v>
      </c>
      <c r="AF3" t="s">
        <v>198</v>
      </c>
      <c r="AG3" t="s">
        <v>198</v>
      </c>
      <c r="AH3" s="33">
        <v>0.75005721536001158</v>
      </c>
      <c r="AI3" s="12">
        <v>0</v>
      </c>
      <c r="AJ3">
        <v>0</v>
      </c>
      <c r="AK3">
        <v>0</v>
      </c>
    </row>
    <row r="4" spans="1:37" ht="15.75" x14ac:dyDescent="0.25">
      <c r="A4" s="4">
        <v>3</v>
      </c>
      <c r="B4" s="5" t="s">
        <v>238</v>
      </c>
      <c r="C4" s="5" t="s">
        <v>110</v>
      </c>
      <c r="D4" s="5" t="s">
        <v>112</v>
      </c>
      <c r="E4" s="7">
        <v>40139</v>
      </c>
      <c r="F4" s="4" t="s">
        <v>241</v>
      </c>
      <c r="G4" s="6">
        <v>234</v>
      </c>
      <c r="H4" s="6">
        <v>233</v>
      </c>
      <c r="I4" s="6">
        <v>233</v>
      </c>
      <c r="J4" s="6">
        <v>700</v>
      </c>
      <c r="K4" s="6">
        <v>233</v>
      </c>
      <c r="L4" s="6">
        <v>233</v>
      </c>
      <c r="M4" s="6">
        <v>233</v>
      </c>
      <c r="N4" s="6">
        <v>699</v>
      </c>
      <c r="O4" s="6">
        <v>233</v>
      </c>
      <c r="P4" s="6">
        <v>233</v>
      </c>
      <c r="Q4" s="6">
        <v>233</v>
      </c>
      <c r="R4" s="6">
        <v>699</v>
      </c>
      <c r="S4" s="6">
        <v>233</v>
      </c>
      <c r="T4" s="6">
        <v>233</v>
      </c>
      <c r="U4" s="6">
        <v>233</v>
      </c>
      <c r="V4" s="6">
        <v>699</v>
      </c>
      <c r="W4" s="6">
        <v>233</v>
      </c>
      <c r="X4" s="6">
        <v>233</v>
      </c>
      <c r="Y4" s="6">
        <v>233</v>
      </c>
      <c r="Z4" s="6">
        <v>699</v>
      </c>
      <c r="AA4" s="4">
        <v>700</v>
      </c>
      <c r="AB4" s="25">
        <v>1165</v>
      </c>
      <c r="AC4" s="25">
        <v>1165</v>
      </c>
      <c r="AD4" s="25">
        <v>1165</v>
      </c>
      <c r="AE4">
        <v>6293</v>
      </c>
      <c r="AF4" t="s">
        <v>199</v>
      </c>
      <c r="AG4" t="s">
        <v>198</v>
      </c>
      <c r="AH4" s="33">
        <v>0.40565843759651588</v>
      </c>
      <c r="AI4" s="12" t="e">
        <v>#N/A</v>
      </c>
      <c r="AJ4">
        <v>0</v>
      </c>
      <c r="AK4">
        <v>0</v>
      </c>
    </row>
    <row r="5" spans="1:37" ht="15.75" x14ac:dyDescent="0.25">
      <c r="A5" s="4">
        <v>4</v>
      </c>
      <c r="B5" s="5" t="s">
        <v>238</v>
      </c>
      <c r="C5" s="5" t="s">
        <v>110</v>
      </c>
      <c r="D5" s="5" t="s">
        <v>112</v>
      </c>
      <c r="E5" s="7">
        <v>9286</v>
      </c>
      <c r="F5" s="4" t="s">
        <v>240</v>
      </c>
      <c r="G5" s="6">
        <v>233</v>
      </c>
      <c r="H5" s="6">
        <v>233</v>
      </c>
      <c r="I5" s="6">
        <v>233</v>
      </c>
      <c r="J5" s="6">
        <v>699</v>
      </c>
      <c r="K5" s="6">
        <v>233</v>
      </c>
      <c r="L5" s="6">
        <v>233</v>
      </c>
      <c r="M5" s="6">
        <v>233</v>
      </c>
      <c r="N5" s="6">
        <v>699</v>
      </c>
      <c r="O5" s="6">
        <v>233</v>
      </c>
      <c r="P5" s="6">
        <v>233</v>
      </c>
      <c r="Q5" s="6">
        <v>233</v>
      </c>
      <c r="R5" s="6">
        <v>699</v>
      </c>
      <c r="S5" s="6">
        <v>233</v>
      </c>
      <c r="T5" s="6">
        <v>233</v>
      </c>
      <c r="U5" s="6">
        <v>233</v>
      </c>
      <c r="V5" s="6">
        <v>699</v>
      </c>
      <c r="W5" s="6">
        <v>233</v>
      </c>
      <c r="X5" s="6">
        <v>233</v>
      </c>
      <c r="Y5" s="6">
        <v>233</v>
      </c>
      <c r="Z5" s="6">
        <v>699</v>
      </c>
      <c r="AA5" s="4">
        <v>699</v>
      </c>
      <c r="AB5" s="25">
        <v>1165</v>
      </c>
      <c r="AC5" s="25">
        <v>1148</v>
      </c>
      <c r="AD5" s="25">
        <v>1165</v>
      </c>
      <c r="AE5">
        <v>6291</v>
      </c>
      <c r="AF5" t="s">
        <v>198</v>
      </c>
      <c r="AG5" t="s">
        <v>198</v>
      </c>
      <c r="AH5" s="33">
        <v>0.50464397909538572</v>
      </c>
      <c r="AI5" s="12">
        <v>0</v>
      </c>
      <c r="AJ5">
        <v>0</v>
      </c>
      <c r="AK5">
        <v>0</v>
      </c>
    </row>
    <row r="6" spans="1:37" ht="15.75" x14ac:dyDescent="0.25">
      <c r="A6" s="4">
        <v>5</v>
      </c>
      <c r="B6" s="5" t="s">
        <v>238</v>
      </c>
      <c r="C6" s="5" t="s">
        <v>110</v>
      </c>
      <c r="D6" s="5" t="s">
        <v>113</v>
      </c>
      <c r="E6" s="7">
        <v>9006</v>
      </c>
      <c r="F6" s="4" t="s">
        <v>241</v>
      </c>
      <c r="G6" s="6">
        <v>216</v>
      </c>
      <c r="H6" s="6">
        <v>216</v>
      </c>
      <c r="I6" s="6">
        <v>216</v>
      </c>
      <c r="J6" s="6">
        <v>648</v>
      </c>
      <c r="K6" s="6">
        <v>216</v>
      </c>
      <c r="L6" s="6">
        <v>216</v>
      </c>
      <c r="M6" s="6">
        <v>216</v>
      </c>
      <c r="N6" s="6">
        <v>648</v>
      </c>
      <c r="O6" s="6">
        <v>216</v>
      </c>
      <c r="P6" s="6">
        <v>216</v>
      </c>
      <c r="Q6" s="6">
        <v>216</v>
      </c>
      <c r="R6" s="6">
        <v>648</v>
      </c>
      <c r="S6" s="6">
        <v>216</v>
      </c>
      <c r="T6" s="6">
        <v>216</v>
      </c>
      <c r="U6" s="6">
        <v>216</v>
      </c>
      <c r="V6" s="6">
        <v>648</v>
      </c>
      <c r="W6" s="6">
        <v>216</v>
      </c>
      <c r="X6" s="6">
        <v>216</v>
      </c>
      <c r="Y6" s="6">
        <v>216</v>
      </c>
      <c r="Z6" s="6">
        <v>648</v>
      </c>
      <c r="AA6" s="4">
        <v>648</v>
      </c>
      <c r="AB6" s="25">
        <v>1080</v>
      </c>
      <c r="AC6" s="25">
        <v>1360</v>
      </c>
      <c r="AD6" s="25">
        <v>1080</v>
      </c>
      <c r="AE6">
        <v>5832</v>
      </c>
      <c r="AF6" t="s">
        <v>198</v>
      </c>
      <c r="AG6" t="s">
        <v>198</v>
      </c>
      <c r="AH6" s="33">
        <v>0.22057536688109569</v>
      </c>
      <c r="AI6" s="12" t="e">
        <v>#N/A</v>
      </c>
      <c r="AJ6">
        <v>1</v>
      </c>
      <c r="AK6">
        <v>2</v>
      </c>
    </row>
    <row r="7" spans="1:37" ht="15.75" x14ac:dyDescent="0.25">
      <c r="A7" s="4">
        <v>6</v>
      </c>
      <c r="B7" s="5" t="s">
        <v>238</v>
      </c>
      <c r="C7" s="5" t="s">
        <v>110</v>
      </c>
      <c r="D7" s="5" t="s">
        <v>114</v>
      </c>
      <c r="E7" s="7">
        <v>15028</v>
      </c>
      <c r="F7" s="4" t="s">
        <v>240</v>
      </c>
      <c r="G7" s="6">
        <v>496</v>
      </c>
      <c r="H7" s="6">
        <v>496</v>
      </c>
      <c r="I7" s="6">
        <v>496</v>
      </c>
      <c r="J7" s="6">
        <v>1488</v>
      </c>
      <c r="K7" s="6">
        <v>496</v>
      </c>
      <c r="L7" s="6">
        <v>496</v>
      </c>
      <c r="M7" s="6">
        <v>496</v>
      </c>
      <c r="N7" s="6">
        <v>1488</v>
      </c>
      <c r="O7" s="6">
        <v>496</v>
      </c>
      <c r="P7" s="6">
        <v>496</v>
      </c>
      <c r="Q7" s="6">
        <v>496</v>
      </c>
      <c r="R7" s="6">
        <v>1488</v>
      </c>
      <c r="S7" s="6">
        <v>496</v>
      </c>
      <c r="T7" s="6">
        <v>496</v>
      </c>
      <c r="U7" s="6">
        <v>496</v>
      </c>
      <c r="V7" s="6">
        <v>1488</v>
      </c>
      <c r="W7" s="6">
        <v>495</v>
      </c>
      <c r="X7" s="6">
        <v>496</v>
      </c>
      <c r="Y7" s="6">
        <v>496</v>
      </c>
      <c r="Z7" s="6">
        <v>1487</v>
      </c>
      <c r="AA7" s="4">
        <v>1488</v>
      </c>
      <c r="AB7" s="25">
        <v>2479</v>
      </c>
      <c r="AC7" s="25">
        <v>2892</v>
      </c>
      <c r="AD7" s="25">
        <v>2480</v>
      </c>
      <c r="AE7">
        <v>13391</v>
      </c>
      <c r="AF7" t="s">
        <v>198</v>
      </c>
      <c r="AG7" t="s">
        <v>198</v>
      </c>
      <c r="AH7" s="33">
        <v>0.46390422584101709</v>
      </c>
      <c r="AI7" s="12">
        <v>3.0186564176475299E-2</v>
      </c>
      <c r="AJ7">
        <v>0</v>
      </c>
      <c r="AK7">
        <v>0</v>
      </c>
    </row>
    <row r="8" spans="1:37" ht="15.75" x14ac:dyDescent="0.25">
      <c r="A8" s="4">
        <v>7</v>
      </c>
      <c r="B8" s="5" t="s">
        <v>238</v>
      </c>
      <c r="C8" s="5" t="s">
        <v>110</v>
      </c>
      <c r="D8" s="5" t="s">
        <v>115</v>
      </c>
      <c r="E8" s="7">
        <v>8669</v>
      </c>
      <c r="F8" s="4" t="s">
        <v>240</v>
      </c>
      <c r="G8" s="6">
        <v>908</v>
      </c>
      <c r="H8" s="6">
        <v>908</v>
      </c>
      <c r="I8" s="6">
        <v>908</v>
      </c>
      <c r="J8" s="6">
        <v>2724</v>
      </c>
      <c r="K8" s="6">
        <v>908</v>
      </c>
      <c r="L8" s="6">
        <v>908</v>
      </c>
      <c r="M8" s="6">
        <v>908</v>
      </c>
      <c r="N8" s="6">
        <v>2724</v>
      </c>
      <c r="O8" s="6">
        <v>908</v>
      </c>
      <c r="P8" s="6">
        <v>908</v>
      </c>
      <c r="Q8" s="6">
        <v>908</v>
      </c>
      <c r="R8" s="6">
        <v>2724</v>
      </c>
      <c r="S8" s="6">
        <v>908</v>
      </c>
      <c r="T8" s="6">
        <v>908</v>
      </c>
      <c r="U8" s="6">
        <v>908</v>
      </c>
      <c r="V8" s="6">
        <v>2724</v>
      </c>
      <c r="W8" s="6">
        <v>908</v>
      </c>
      <c r="X8" s="6">
        <v>908</v>
      </c>
      <c r="Y8" s="6">
        <v>908</v>
      </c>
      <c r="Z8" s="6">
        <v>2724</v>
      </c>
      <c r="AA8" s="4">
        <v>2724</v>
      </c>
      <c r="AB8" s="25">
        <v>4540</v>
      </c>
      <c r="AC8" s="25">
        <v>4088</v>
      </c>
      <c r="AD8" s="25">
        <v>4540</v>
      </c>
      <c r="AE8">
        <v>24516</v>
      </c>
      <c r="AF8" t="s">
        <v>198</v>
      </c>
      <c r="AG8" t="s">
        <v>198</v>
      </c>
      <c r="AH8" s="33">
        <v>0.55931651282576944</v>
      </c>
      <c r="AI8" s="12">
        <v>0</v>
      </c>
      <c r="AJ8">
        <v>0</v>
      </c>
      <c r="AK8">
        <v>0</v>
      </c>
    </row>
    <row r="9" spans="1:37" ht="15.75" x14ac:dyDescent="0.25">
      <c r="A9" s="4">
        <v>8</v>
      </c>
      <c r="B9" s="5" t="s">
        <v>238</v>
      </c>
      <c r="C9" s="5" t="s">
        <v>110</v>
      </c>
      <c r="D9" s="5" t="s">
        <v>116</v>
      </c>
      <c r="E9" s="7">
        <v>9058</v>
      </c>
      <c r="F9" s="4" t="s">
        <v>240</v>
      </c>
      <c r="G9" s="6">
        <v>456</v>
      </c>
      <c r="H9" s="6">
        <v>456</v>
      </c>
      <c r="I9" s="6">
        <v>456</v>
      </c>
      <c r="J9" s="6">
        <v>1368</v>
      </c>
      <c r="K9" s="6">
        <v>456</v>
      </c>
      <c r="L9" s="6">
        <v>456</v>
      </c>
      <c r="M9" s="6">
        <v>456</v>
      </c>
      <c r="N9" s="6">
        <v>1368</v>
      </c>
      <c r="O9" s="6">
        <v>456</v>
      </c>
      <c r="P9" s="6">
        <v>456</v>
      </c>
      <c r="Q9" s="6">
        <v>456</v>
      </c>
      <c r="R9" s="6">
        <v>1368</v>
      </c>
      <c r="S9" s="6">
        <v>456</v>
      </c>
      <c r="T9" s="6">
        <v>456</v>
      </c>
      <c r="U9" s="6">
        <v>456</v>
      </c>
      <c r="V9" s="6">
        <v>1368</v>
      </c>
      <c r="W9" s="6">
        <v>456</v>
      </c>
      <c r="X9" s="6">
        <v>456</v>
      </c>
      <c r="Y9" s="6">
        <v>456</v>
      </c>
      <c r="Z9" s="6">
        <v>1368</v>
      </c>
      <c r="AA9" s="4">
        <v>1368</v>
      </c>
      <c r="AB9" s="25">
        <v>2280</v>
      </c>
      <c r="AC9" s="25">
        <v>2052</v>
      </c>
      <c r="AD9" s="25">
        <v>2280</v>
      </c>
      <c r="AE9">
        <v>12312</v>
      </c>
      <c r="AF9" t="s">
        <v>198</v>
      </c>
      <c r="AG9" t="s">
        <v>198</v>
      </c>
      <c r="AH9" s="33">
        <v>0.86078457562166855</v>
      </c>
      <c r="AI9" s="12">
        <v>0</v>
      </c>
      <c r="AJ9">
        <v>0</v>
      </c>
      <c r="AK9">
        <v>0</v>
      </c>
    </row>
    <row r="10" spans="1:37" ht="15.75" x14ac:dyDescent="0.25">
      <c r="A10" s="4">
        <v>9</v>
      </c>
      <c r="B10" s="5" t="s">
        <v>238</v>
      </c>
      <c r="C10" s="5" t="s">
        <v>110</v>
      </c>
      <c r="D10" s="5" t="s">
        <v>117</v>
      </c>
      <c r="E10" s="30">
        <v>38754</v>
      </c>
      <c r="F10" s="4" t="s">
        <v>242</v>
      </c>
      <c r="G10" s="6">
        <v>228</v>
      </c>
      <c r="H10" s="6">
        <v>228</v>
      </c>
      <c r="I10" s="6">
        <v>228</v>
      </c>
      <c r="J10" s="6">
        <v>684</v>
      </c>
      <c r="K10" s="6">
        <v>228</v>
      </c>
      <c r="L10" s="6">
        <v>228</v>
      </c>
      <c r="M10" s="6">
        <v>228</v>
      </c>
      <c r="N10" s="6">
        <v>684</v>
      </c>
      <c r="O10" s="6">
        <v>228</v>
      </c>
      <c r="P10" s="6">
        <v>228</v>
      </c>
      <c r="Q10" s="6">
        <v>228</v>
      </c>
      <c r="R10" s="6">
        <v>684</v>
      </c>
      <c r="S10" s="6">
        <v>228</v>
      </c>
      <c r="T10" s="6">
        <v>228</v>
      </c>
      <c r="U10" s="6">
        <v>228</v>
      </c>
      <c r="V10" s="6">
        <v>684</v>
      </c>
      <c r="W10" s="6">
        <v>228</v>
      </c>
      <c r="X10" s="6">
        <v>228</v>
      </c>
      <c r="Y10" s="6">
        <v>228</v>
      </c>
      <c r="Z10" s="6">
        <v>684</v>
      </c>
      <c r="AA10" s="4">
        <v>684</v>
      </c>
      <c r="AB10" s="25">
        <v>1140</v>
      </c>
      <c r="AC10" s="25">
        <v>1823</v>
      </c>
      <c r="AD10" s="25">
        <v>1140</v>
      </c>
      <c r="AE10">
        <v>6156</v>
      </c>
      <c r="AF10" t="s">
        <v>198</v>
      </c>
      <c r="AG10" t="s">
        <v>199</v>
      </c>
      <c r="AH10" s="33">
        <v>0.24967780679888174</v>
      </c>
      <c r="AI10" s="12">
        <v>6.8205666316894023E-2</v>
      </c>
      <c r="AJ10">
        <v>0</v>
      </c>
      <c r="AK10">
        <v>0</v>
      </c>
    </row>
    <row r="11" spans="1:37" ht="15.75" x14ac:dyDescent="0.25">
      <c r="A11" s="4">
        <v>10</v>
      </c>
      <c r="B11" s="5" t="s">
        <v>238</v>
      </c>
      <c r="C11" s="5" t="s">
        <v>110</v>
      </c>
      <c r="D11" s="5" t="s">
        <v>118</v>
      </c>
      <c r="E11" s="7">
        <v>11364</v>
      </c>
      <c r="F11" s="4" t="s">
        <v>240</v>
      </c>
      <c r="G11" s="6">
        <v>911</v>
      </c>
      <c r="H11" s="6">
        <v>911</v>
      </c>
      <c r="I11" s="6">
        <v>911</v>
      </c>
      <c r="J11" s="6">
        <v>2733</v>
      </c>
      <c r="K11" s="6">
        <v>911</v>
      </c>
      <c r="L11" s="6">
        <v>911</v>
      </c>
      <c r="M11" s="6">
        <v>911</v>
      </c>
      <c r="N11" s="6">
        <v>2733</v>
      </c>
      <c r="O11" s="6">
        <v>911</v>
      </c>
      <c r="P11" s="6">
        <v>911</v>
      </c>
      <c r="Q11" s="6">
        <v>911</v>
      </c>
      <c r="R11" s="6">
        <v>2733</v>
      </c>
      <c r="S11" s="6">
        <v>911</v>
      </c>
      <c r="T11" s="6">
        <v>911</v>
      </c>
      <c r="U11" s="6">
        <v>911</v>
      </c>
      <c r="V11" s="6">
        <v>2733</v>
      </c>
      <c r="W11" s="6">
        <v>911</v>
      </c>
      <c r="X11" s="6">
        <v>911</v>
      </c>
      <c r="Y11" s="6">
        <v>911</v>
      </c>
      <c r="Z11" s="6">
        <v>2733</v>
      </c>
      <c r="AA11" s="4">
        <v>2733</v>
      </c>
      <c r="AB11" s="25">
        <v>4555</v>
      </c>
      <c r="AC11" s="25">
        <v>3967</v>
      </c>
      <c r="AD11" s="25">
        <v>4555</v>
      </c>
      <c r="AE11">
        <v>24597</v>
      </c>
      <c r="AF11" t="s">
        <v>198</v>
      </c>
      <c r="AG11" t="s">
        <v>198</v>
      </c>
      <c r="AH11" s="33">
        <v>0.50970606174787392</v>
      </c>
      <c r="AI11" s="12" t="e">
        <v>#N/A</v>
      </c>
      <c r="AJ11">
        <v>0</v>
      </c>
      <c r="AK11">
        <v>0</v>
      </c>
    </row>
    <row r="12" spans="1:37" ht="15.75" x14ac:dyDescent="0.25">
      <c r="A12" s="4">
        <v>11</v>
      </c>
      <c r="B12" s="5" t="s">
        <v>238</v>
      </c>
      <c r="C12" s="5" t="s">
        <v>110</v>
      </c>
      <c r="D12" s="5" t="s">
        <v>119</v>
      </c>
      <c r="E12" s="7">
        <v>9564</v>
      </c>
      <c r="F12" s="4" t="s">
        <v>241</v>
      </c>
      <c r="G12" s="6">
        <v>323</v>
      </c>
      <c r="H12" s="6">
        <v>323</v>
      </c>
      <c r="I12" s="6">
        <v>323</v>
      </c>
      <c r="J12" s="6">
        <v>969</v>
      </c>
      <c r="K12" s="6">
        <v>323</v>
      </c>
      <c r="L12" s="6">
        <v>323</v>
      </c>
      <c r="M12" s="6">
        <v>323</v>
      </c>
      <c r="N12" s="6">
        <v>969</v>
      </c>
      <c r="O12" s="6">
        <v>323</v>
      </c>
      <c r="P12" s="6">
        <v>323</v>
      </c>
      <c r="Q12" s="6">
        <v>323</v>
      </c>
      <c r="R12" s="6">
        <v>969</v>
      </c>
      <c r="S12" s="6">
        <v>323</v>
      </c>
      <c r="T12" s="6">
        <v>323</v>
      </c>
      <c r="U12" s="6">
        <v>323</v>
      </c>
      <c r="V12" s="6">
        <v>969</v>
      </c>
      <c r="W12" s="6">
        <v>323</v>
      </c>
      <c r="X12" s="6">
        <v>323</v>
      </c>
      <c r="Y12" s="6">
        <v>323</v>
      </c>
      <c r="Z12" s="6">
        <v>969</v>
      </c>
      <c r="AA12" s="4">
        <v>969</v>
      </c>
      <c r="AB12" s="25">
        <v>1615</v>
      </c>
      <c r="AC12" s="25">
        <v>1515</v>
      </c>
      <c r="AD12" s="25">
        <v>1615</v>
      </c>
      <c r="AE12">
        <v>8721</v>
      </c>
      <c r="AF12" t="s">
        <v>198</v>
      </c>
      <c r="AG12" t="s">
        <v>198</v>
      </c>
      <c r="AH12" s="33">
        <v>0.99001438456460089</v>
      </c>
      <c r="AI12" s="12" t="e">
        <v>#N/A</v>
      </c>
      <c r="AJ12">
        <v>1</v>
      </c>
      <c r="AK12">
        <v>0</v>
      </c>
    </row>
    <row r="13" spans="1:37" ht="15.75" x14ac:dyDescent="0.25">
      <c r="A13" s="4">
        <v>12</v>
      </c>
      <c r="B13" s="5" t="s">
        <v>238</v>
      </c>
      <c r="C13" s="5" t="s">
        <v>110</v>
      </c>
      <c r="D13" s="5" t="s">
        <v>120</v>
      </c>
      <c r="E13" s="30">
        <v>9000</v>
      </c>
      <c r="F13" s="4" t="s">
        <v>240</v>
      </c>
      <c r="G13" s="6">
        <v>223</v>
      </c>
      <c r="H13" s="6">
        <v>223</v>
      </c>
      <c r="I13" s="6">
        <v>223</v>
      </c>
      <c r="J13" s="6">
        <v>669</v>
      </c>
      <c r="K13" s="6">
        <v>223</v>
      </c>
      <c r="L13" s="6">
        <v>223</v>
      </c>
      <c r="M13" s="6">
        <v>223</v>
      </c>
      <c r="N13" s="6">
        <v>669</v>
      </c>
      <c r="O13" s="6">
        <v>223</v>
      </c>
      <c r="P13" s="6">
        <v>223</v>
      </c>
      <c r="Q13" s="6">
        <v>223</v>
      </c>
      <c r="R13" s="6">
        <v>669</v>
      </c>
      <c r="S13" s="6">
        <v>223</v>
      </c>
      <c r="T13" s="6">
        <v>223</v>
      </c>
      <c r="U13" s="6">
        <v>223</v>
      </c>
      <c r="V13" s="6">
        <v>669</v>
      </c>
      <c r="W13" s="6">
        <v>223</v>
      </c>
      <c r="X13" s="6">
        <v>223</v>
      </c>
      <c r="Y13" s="6">
        <v>223</v>
      </c>
      <c r="Z13" s="6">
        <v>669</v>
      </c>
      <c r="AA13" s="4">
        <v>669</v>
      </c>
      <c r="AB13" s="25">
        <v>1115</v>
      </c>
      <c r="AC13" s="25">
        <v>1812</v>
      </c>
      <c r="AD13" s="25">
        <v>1115</v>
      </c>
      <c r="AE13">
        <v>6021</v>
      </c>
      <c r="AF13" t="s">
        <v>199</v>
      </c>
      <c r="AG13" t="s">
        <v>199</v>
      </c>
      <c r="AH13" s="33">
        <v>0.2714701714843164</v>
      </c>
      <c r="AI13" s="12">
        <v>1.8109843525964717E-2</v>
      </c>
      <c r="AJ13">
        <v>0</v>
      </c>
      <c r="AK13">
        <v>0</v>
      </c>
    </row>
    <row r="14" spans="1:37" ht="15.75" x14ac:dyDescent="0.25">
      <c r="A14" s="4">
        <v>13</v>
      </c>
      <c r="B14" s="5" t="s">
        <v>238</v>
      </c>
      <c r="C14" s="5" t="s">
        <v>110</v>
      </c>
      <c r="D14" s="5" t="s">
        <v>120</v>
      </c>
      <c r="E14" s="7">
        <v>9002</v>
      </c>
      <c r="F14" s="4" t="s">
        <v>240</v>
      </c>
      <c r="G14" s="6">
        <v>920</v>
      </c>
      <c r="H14" s="6">
        <v>920</v>
      </c>
      <c r="I14" s="6">
        <v>920</v>
      </c>
      <c r="J14" s="6">
        <v>2760</v>
      </c>
      <c r="K14" s="6">
        <v>920</v>
      </c>
      <c r="L14" s="6">
        <v>920</v>
      </c>
      <c r="M14" s="6">
        <v>920</v>
      </c>
      <c r="N14" s="6">
        <v>2760</v>
      </c>
      <c r="O14" s="6">
        <v>920</v>
      </c>
      <c r="P14" s="6">
        <v>920</v>
      </c>
      <c r="Q14" s="6">
        <v>920</v>
      </c>
      <c r="R14" s="6">
        <v>2760</v>
      </c>
      <c r="S14" s="6">
        <v>920</v>
      </c>
      <c r="T14" s="6">
        <v>920</v>
      </c>
      <c r="U14" s="6">
        <v>920</v>
      </c>
      <c r="V14" s="6">
        <v>2760</v>
      </c>
      <c r="W14" s="6">
        <v>920</v>
      </c>
      <c r="X14" s="6">
        <v>920</v>
      </c>
      <c r="Y14" s="6">
        <v>920</v>
      </c>
      <c r="Z14" s="6">
        <v>2760</v>
      </c>
      <c r="AA14" s="4">
        <v>2760</v>
      </c>
      <c r="AB14" s="25">
        <v>4600</v>
      </c>
      <c r="AC14" s="25">
        <v>4583</v>
      </c>
      <c r="AD14" s="25">
        <v>4600</v>
      </c>
      <c r="AE14">
        <v>24840</v>
      </c>
      <c r="AF14" t="s">
        <v>198</v>
      </c>
      <c r="AG14" t="s">
        <v>199</v>
      </c>
      <c r="AH14" s="33">
        <v>0.68423690923216196</v>
      </c>
      <c r="AI14" s="12">
        <v>1.7272605312583848E-2</v>
      </c>
      <c r="AJ14">
        <v>0</v>
      </c>
      <c r="AK14">
        <v>0</v>
      </c>
    </row>
    <row r="15" spans="1:37" ht="15.75" x14ac:dyDescent="0.25">
      <c r="A15" s="4">
        <v>14</v>
      </c>
      <c r="B15" s="5" t="s">
        <v>238</v>
      </c>
      <c r="C15" s="5" t="s">
        <v>110</v>
      </c>
      <c r="D15" s="5" t="s">
        <v>121</v>
      </c>
      <c r="E15" s="7">
        <v>13297</v>
      </c>
      <c r="F15" s="4" t="s">
        <v>240</v>
      </c>
      <c r="G15" s="6">
        <v>903</v>
      </c>
      <c r="H15" s="6">
        <v>903</v>
      </c>
      <c r="I15" s="6">
        <v>903</v>
      </c>
      <c r="J15" s="6">
        <v>2709</v>
      </c>
      <c r="K15" s="6">
        <v>903</v>
      </c>
      <c r="L15" s="6">
        <v>903</v>
      </c>
      <c r="M15" s="6">
        <v>903</v>
      </c>
      <c r="N15" s="6">
        <v>2709</v>
      </c>
      <c r="O15" s="6">
        <v>903</v>
      </c>
      <c r="P15" s="6">
        <v>903</v>
      </c>
      <c r="Q15" s="6">
        <v>903</v>
      </c>
      <c r="R15" s="6">
        <v>2709</v>
      </c>
      <c r="S15" s="6">
        <v>903</v>
      </c>
      <c r="T15" s="6">
        <v>903</v>
      </c>
      <c r="U15" s="6">
        <v>903</v>
      </c>
      <c r="V15" s="6">
        <v>2709</v>
      </c>
      <c r="W15" s="6">
        <v>903</v>
      </c>
      <c r="X15" s="6">
        <v>903</v>
      </c>
      <c r="Y15" s="6">
        <v>903</v>
      </c>
      <c r="Z15" s="6">
        <v>2709</v>
      </c>
      <c r="AA15" s="4">
        <v>2709</v>
      </c>
      <c r="AB15" s="25">
        <v>4515</v>
      </c>
      <c r="AC15" s="25">
        <v>4061</v>
      </c>
      <c r="AD15" s="25">
        <v>4515</v>
      </c>
      <c r="AE15">
        <v>24381</v>
      </c>
      <c r="AF15" t="s">
        <v>198</v>
      </c>
      <c r="AG15" t="s">
        <v>198</v>
      </c>
      <c r="AH15" s="33">
        <v>0.76254896839309583</v>
      </c>
      <c r="AI15" s="12">
        <v>1.9058245927248384E-2</v>
      </c>
      <c r="AJ15">
        <v>1</v>
      </c>
      <c r="AK15">
        <v>0</v>
      </c>
    </row>
    <row r="16" spans="1:37" ht="15.75" x14ac:dyDescent="0.25">
      <c r="A16" s="4">
        <v>15</v>
      </c>
      <c r="B16" s="5" t="s">
        <v>238</v>
      </c>
      <c r="C16" s="5" t="s">
        <v>110</v>
      </c>
      <c r="D16" s="5" t="s">
        <v>121</v>
      </c>
      <c r="E16" s="7">
        <v>9003</v>
      </c>
      <c r="F16" s="4" t="s">
        <v>240</v>
      </c>
      <c r="G16" s="6">
        <v>449</v>
      </c>
      <c r="H16" s="6">
        <v>449</v>
      </c>
      <c r="I16" s="6">
        <v>449</v>
      </c>
      <c r="J16" s="6">
        <v>1347</v>
      </c>
      <c r="K16" s="6">
        <v>449</v>
      </c>
      <c r="L16" s="6">
        <v>449</v>
      </c>
      <c r="M16" s="6">
        <v>449</v>
      </c>
      <c r="N16" s="6">
        <v>1347</v>
      </c>
      <c r="O16" s="6">
        <v>449</v>
      </c>
      <c r="P16" s="6">
        <v>449</v>
      </c>
      <c r="Q16" s="6">
        <v>449</v>
      </c>
      <c r="R16" s="6">
        <v>1347</v>
      </c>
      <c r="S16" s="6">
        <v>449</v>
      </c>
      <c r="T16" s="6">
        <v>449</v>
      </c>
      <c r="U16" s="6">
        <v>449</v>
      </c>
      <c r="V16" s="6">
        <v>1347</v>
      </c>
      <c r="W16" s="6">
        <v>449</v>
      </c>
      <c r="X16" s="6">
        <v>449</v>
      </c>
      <c r="Y16" s="6">
        <v>449</v>
      </c>
      <c r="Z16" s="6">
        <v>1347</v>
      </c>
      <c r="AA16" s="4">
        <v>1347</v>
      </c>
      <c r="AB16" s="25">
        <v>2245</v>
      </c>
      <c r="AC16" s="25">
        <v>2254</v>
      </c>
      <c r="AD16" s="25">
        <v>2245</v>
      </c>
      <c r="AE16">
        <v>12123</v>
      </c>
      <c r="AF16" t="s">
        <v>198</v>
      </c>
      <c r="AG16" t="s">
        <v>199</v>
      </c>
      <c r="AH16" s="33">
        <v>0.93606912322176861</v>
      </c>
      <c r="AI16" s="12">
        <v>6.295511717198464E-2</v>
      </c>
      <c r="AJ16">
        <v>0</v>
      </c>
      <c r="AK16">
        <v>1</v>
      </c>
    </row>
    <row r="17" spans="1:37" ht="15.75" x14ac:dyDescent="0.25">
      <c r="A17" s="4">
        <v>16</v>
      </c>
      <c r="B17" s="5" t="s">
        <v>238</v>
      </c>
      <c r="C17" s="5" t="s">
        <v>110</v>
      </c>
      <c r="D17" s="5" t="s">
        <v>122</v>
      </c>
      <c r="E17" s="7">
        <v>40043</v>
      </c>
      <c r="F17" s="4" t="s">
        <v>240</v>
      </c>
      <c r="G17" s="6">
        <v>458</v>
      </c>
      <c r="H17" s="6">
        <v>458</v>
      </c>
      <c r="I17" s="6">
        <v>458</v>
      </c>
      <c r="J17" s="6">
        <v>1374</v>
      </c>
      <c r="K17" s="6">
        <v>458</v>
      </c>
      <c r="L17" s="6">
        <v>458</v>
      </c>
      <c r="M17" s="6">
        <v>458</v>
      </c>
      <c r="N17" s="6">
        <v>1374</v>
      </c>
      <c r="O17" s="6">
        <v>458</v>
      </c>
      <c r="P17" s="6">
        <v>458</v>
      </c>
      <c r="Q17" s="6">
        <v>458</v>
      </c>
      <c r="R17" s="6">
        <v>1374</v>
      </c>
      <c r="S17" s="6">
        <v>458</v>
      </c>
      <c r="T17" s="6">
        <v>458</v>
      </c>
      <c r="U17" s="6">
        <v>458</v>
      </c>
      <c r="V17" s="6">
        <v>1374</v>
      </c>
      <c r="W17" s="6">
        <v>458</v>
      </c>
      <c r="X17" s="6">
        <v>458</v>
      </c>
      <c r="Y17" s="6">
        <v>458</v>
      </c>
      <c r="Z17" s="6">
        <v>1374</v>
      </c>
      <c r="AA17" s="4">
        <v>1374</v>
      </c>
      <c r="AB17" s="25">
        <v>2290</v>
      </c>
      <c r="AC17" s="25">
        <v>2350</v>
      </c>
      <c r="AD17" s="25">
        <v>2290</v>
      </c>
      <c r="AE17">
        <v>12366</v>
      </c>
      <c r="AF17" t="s">
        <v>199</v>
      </c>
      <c r="AG17" t="s">
        <v>198</v>
      </c>
      <c r="AH17" s="33">
        <v>0.62814713012448131</v>
      </c>
      <c r="AI17" s="12">
        <v>5.3293201133144473E-2</v>
      </c>
      <c r="AJ17">
        <v>0</v>
      </c>
      <c r="AK17">
        <v>0</v>
      </c>
    </row>
    <row r="18" spans="1:37" ht="15.75" x14ac:dyDescent="0.25">
      <c r="A18" s="4">
        <v>17</v>
      </c>
      <c r="B18" s="5" t="s">
        <v>238</v>
      </c>
      <c r="C18" s="5" t="s">
        <v>110</v>
      </c>
      <c r="D18" s="5" t="s">
        <v>122</v>
      </c>
      <c r="E18" s="7">
        <v>39119</v>
      </c>
      <c r="F18" s="4" t="s">
        <v>240</v>
      </c>
      <c r="G18" s="6">
        <v>518</v>
      </c>
      <c r="H18" s="6">
        <v>518</v>
      </c>
      <c r="I18" s="6">
        <v>518</v>
      </c>
      <c r="J18" s="6">
        <v>1554</v>
      </c>
      <c r="K18" s="6">
        <v>518</v>
      </c>
      <c r="L18" s="6">
        <v>518</v>
      </c>
      <c r="M18" s="6">
        <v>518</v>
      </c>
      <c r="N18" s="6">
        <v>1554</v>
      </c>
      <c r="O18" s="6">
        <v>518</v>
      </c>
      <c r="P18" s="6">
        <v>518</v>
      </c>
      <c r="Q18" s="6">
        <v>518</v>
      </c>
      <c r="R18" s="6">
        <v>1554</v>
      </c>
      <c r="S18" s="6">
        <v>518</v>
      </c>
      <c r="T18" s="6">
        <v>518</v>
      </c>
      <c r="U18" s="6">
        <v>518</v>
      </c>
      <c r="V18" s="6">
        <v>1554</v>
      </c>
      <c r="W18" s="6">
        <v>518</v>
      </c>
      <c r="X18" s="6">
        <v>518</v>
      </c>
      <c r="Y18" s="6">
        <v>518</v>
      </c>
      <c r="Z18" s="6">
        <v>1554</v>
      </c>
      <c r="AA18" s="4">
        <v>1554</v>
      </c>
      <c r="AB18" s="25">
        <v>2590</v>
      </c>
      <c r="AC18" s="25">
        <v>3008</v>
      </c>
      <c r="AD18" s="25">
        <v>2590</v>
      </c>
      <c r="AE18">
        <v>13986</v>
      </c>
      <c r="AF18" t="s">
        <v>198</v>
      </c>
      <c r="AG18" t="s">
        <v>199</v>
      </c>
      <c r="AH18" s="33">
        <v>8.2757574437742676E-2</v>
      </c>
      <c r="AI18" s="12">
        <v>3.4384537131230929E-2</v>
      </c>
      <c r="AJ18">
        <v>0</v>
      </c>
      <c r="AK18">
        <v>0</v>
      </c>
    </row>
    <row r="19" spans="1:37" ht="15.75" x14ac:dyDescent="0.25">
      <c r="A19" s="4">
        <v>18</v>
      </c>
      <c r="B19" s="5" t="s">
        <v>238</v>
      </c>
      <c r="C19" s="5" t="s">
        <v>110</v>
      </c>
      <c r="D19" s="5" t="s">
        <v>122</v>
      </c>
      <c r="E19" s="7">
        <v>38248</v>
      </c>
      <c r="F19" s="4" t="s">
        <v>240</v>
      </c>
      <c r="G19" s="6">
        <v>936</v>
      </c>
      <c r="H19" s="6">
        <v>936</v>
      </c>
      <c r="I19" s="6">
        <v>936</v>
      </c>
      <c r="J19" s="6">
        <v>2808</v>
      </c>
      <c r="K19" s="6">
        <v>936</v>
      </c>
      <c r="L19" s="6">
        <v>936</v>
      </c>
      <c r="M19" s="6">
        <v>936</v>
      </c>
      <c r="N19" s="6">
        <v>2808</v>
      </c>
      <c r="O19" s="6">
        <v>936</v>
      </c>
      <c r="P19" s="6">
        <v>936</v>
      </c>
      <c r="Q19" s="6">
        <v>936</v>
      </c>
      <c r="R19" s="6">
        <v>2808</v>
      </c>
      <c r="S19" s="6">
        <v>936</v>
      </c>
      <c r="T19" s="6">
        <v>936</v>
      </c>
      <c r="U19" s="6">
        <v>936</v>
      </c>
      <c r="V19" s="6">
        <v>2808</v>
      </c>
      <c r="W19" s="6">
        <v>936</v>
      </c>
      <c r="X19" s="6">
        <v>936</v>
      </c>
      <c r="Y19" s="6">
        <v>936</v>
      </c>
      <c r="Z19" s="6">
        <v>2808</v>
      </c>
      <c r="AA19" s="4">
        <v>2808</v>
      </c>
      <c r="AB19" s="25">
        <v>4680</v>
      </c>
      <c r="AC19" s="25">
        <v>4391</v>
      </c>
      <c r="AD19" s="25">
        <v>4680</v>
      </c>
      <c r="AE19">
        <v>25272</v>
      </c>
      <c r="AF19" t="s">
        <v>198</v>
      </c>
      <c r="AG19" t="s">
        <v>198</v>
      </c>
      <c r="AH19" s="33">
        <v>0.3150432753083946</v>
      </c>
      <c r="AI19" s="12">
        <v>2.518596614537574E-2</v>
      </c>
      <c r="AJ19">
        <v>0</v>
      </c>
      <c r="AK19">
        <v>0</v>
      </c>
    </row>
    <row r="20" spans="1:37" ht="15.75" x14ac:dyDescent="0.25">
      <c r="A20" s="4">
        <v>19</v>
      </c>
      <c r="B20" s="5" t="s">
        <v>238</v>
      </c>
      <c r="C20" s="5" t="s">
        <v>110</v>
      </c>
      <c r="D20" s="5" t="s">
        <v>122</v>
      </c>
      <c r="E20" s="7">
        <v>40036</v>
      </c>
      <c r="F20" s="4" t="s">
        <v>241</v>
      </c>
      <c r="G20" s="6">
        <v>647</v>
      </c>
      <c r="H20" s="6">
        <v>647</v>
      </c>
      <c r="I20" s="6">
        <v>647</v>
      </c>
      <c r="J20" s="6">
        <v>1941</v>
      </c>
      <c r="K20" s="6">
        <v>647</v>
      </c>
      <c r="L20" s="6">
        <v>647</v>
      </c>
      <c r="M20" s="6">
        <v>647</v>
      </c>
      <c r="N20" s="6">
        <v>1941</v>
      </c>
      <c r="O20" s="6">
        <v>647</v>
      </c>
      <c r="P20" s="6">
        <v>647</v>
      </c>
      <c r="Q20" s="6">
        <v>647</v>
      </c>
      <c r="R20" s="6">
        <v>1941</v>
      </c>
      <c r="S20" s="6">
        <v>647</v>
      </c>
      <c r="T20" s="6">
        <v>647</v>
      </c>
      <c r="U20" s="6">
        <v>647</v>
      </c>
      <c r="V20" s="6">
        <v>1941</v>
      </c>
      <c r="W20" s="6">
        <v>647</v>
      </c>
      <c r="X20" s="6">
        <v>647</v>
      </c>
      <c r="Y20" s="6">
        <v>647</v>
      </c>
      <c r="Z20" s="6">
        <v>1941</v>
      </c>
      <c r="AA20" s="4">
        <v>1941</v>
      </c>
      <c r="AB20" s="25">
        <v>3235</v>
      </c>
      <c r="AC20" s="25">
        <v>3081</v>
      </c>
      <c r="AD20" s="25">
        <v>3235</v>
      </c>
      <c r="AE20">
        <v>17469</v>
      </c>
      <c r="AF20" t="s">
        <v>199</v>
      </c>
      <c r="AG20" t="s">
        <v>198</v>
      </c>
      <c r="AH20" s="33">
        <v>0.19789086623886809</v>
      </c>
      <c r="AI20" s="12" t="e">
        <v>#N/A</v>
      </c>
      <c r="AJ20">
        <v>0</v>
      </c>
      <c r="AK20">
        <v>0</v>
      </c>
    </row>
    <row r="21" spans="1:37" ht="15.75" x14ac:dyDescent="0.25">
      <c r="A21" s="4">
        <v>20</v>
      </c>
      <c r="B21" s="5" t="s">
        <v>238</v>
      </c>
      <c r="C21" s="5" t="s">
        <v>110</v>
      </c>
      <c r="D21" s="5" t="s">
        <v>123</v>
      </c>
      <c r="E21" s="7">
        <v>40040</v>
      </c>
      <c r="F21" s="4" t="s">
        <v>240</v>
      </c>
      <c r="G21" s="6">
        <v>493</v>
      </c>
      <c r="H21" s="6">
        <v>493</v>
      </c>
      <c r="I21" s="6">
        <v>493</v>
      </c>
      <c r="J21" s="6">
        <v>1479</v>
      </c>
      <c r="K21" s="6">
        <v>493</v>
      </c>
      <c r="L21" s="6">
        <v>493</v>
      </c>
      <c r="M21" s="6">
        <v>493</v>
      </c>
      <c r="N21" s="6">
        <v>1479</v>
      </c>
      <c r="O21" s="6">
        <v>493</v>
      </c>
      <c r="P21" s="6">
        <v>493</v>
      </c>
      <c r="Q21" s="6">
        <v>493</v>
      </c>
      <c r="R21" s="6">
        <v>1479</v>
      </c>
      <c r="S21" s="6">
        <v>493</v>
      </c>
      <c r="T21" s="6">
        <v>493</v>
      </c>
      <c r="U21" s="6">
        <v>493</v>
      </c>
      <c r="V21" s="6">
        <v>1479</v>
      </c>
      <c r="W21" s="6">
        <v>493</v>
      </c>
      <c r="X21" s="6">
        <v>493</v>
      </c>
      <c r="Y21" s="6">
        <v>493</v>
      </c>
      <c r="Z21" s="6">
        <v>1479</v>
      </c>
      <c r="AA21" s="4">
        <v>1479</v>
      </c>
      <c r="AB21" s="25">
        <v>2465</v>
      </c>
      <c r="AC21" s="25">
        <v>1972</v>
      </c>
      <c r="AD21" s="25">
        <v>2465</v>
      </c>
      <c r="AE21">
        <v>13311</v>
      </c>
      <c r="AF21" t="s">
        <v>199</v>
      </c>
      <c r="AG21" t="s">
        <v>198</v>
      </c>
      <c r="AH21" s="33">
        <v>0.87641220174274992</v>
      </c>
      <c r="AI21" s="12" t="e">
        <v>#N/A</v>
      </c>
      <c r="AJ21">
        <v>0</v>
      </c>
      <c r="AK21">
        <v>1</v>
      </c>
    </row>
    <row r="22" spans="1:37" ht="15.75" x14ac:dyDescent="0.25">
      <c r="A22" s="4">
        <v>21</v>
      </c>
      <c r="B22" s="29" t="s">
        <v>244</v>
      </c>
      <c r="C22" s="5" t="s">
        <v>30</v>
      </c>
      <c r="D22" s="5" t="s">
        <v>31</v>
      </c>
      <c r="E22" s="7">
        <v>25902</v>
      </c>
      <c r="F22" s="4" t="s">
        <v>240</v>
      </c>
      <c r="G22" s="6">
        <v>69</v>
      </c>
      <c r="H22" s="6">
        <v>0</v>
      </c>
      <c r="I22" s="6">
        <v>0</v>
      </c>
      <c r="J22" s="6">
        <v>69</v>
      </c>
      <c r="K22" s="6">
        <v>0</v>
      </c>
      <c r="L22" s="6">
        <v>0</v>
      </c>
      <c r="M22" s="6">
        <v>0</v>
      </c>
      <c r="N22" s="6">
        <v>0</v>
      </c>
      <c r="O22" s="6">
        <v>0</v>
      </c>
      <c r="P22" s="6">
        <v>0</v>
      </c>
      <c r="Q22" s="6">
        <v>0</v>
      </c>
      <c r="R22" s="6">
        <v>0</v>
      </c>
      <c r="S22" s="6">
        <v>0</v>
      </c>
      <c r="T22" s="6">
        <v>0</v>
      </c>
      <c r="U22" s="6">
        <v>0</v>
      </c>
      <c r="V22" s="6">
        <v>0</v>
      </c>
      <c r="W22" s="6">
        <v>0</v>
      </c>
      <c r="X22" s="6">
        <v>0</v>
      </c>
      <c r="Y22" s="6">
        <v>0</v>
      </c>
      <c r="Z22" s="6">
        <v>0</v>
      </c>
      <c r="AA22" s="4">
        <v>69</v>
      </c>
      <c r="AB22" s="25">
        <v>0</v>
      </c>
      <c r="AC22" s="25">
        <v>121</v>
      </c>
      <c r="AD22" s="25">
        <v>0</v>
      </c>
      <c r="AE22">
        <v>138</v>
      </c>
      <c r="AF22" t="s">
        <v>198</v>
      </c>
      <c r="AG22" t="s">
        <v>198</v>
      </c>
      <c r="AH22" s="33">
        <v>0.68902891941591726</v>
      </c>
      <c r="AI22" s="12">
        <v>0</v>
      </c>
      <c r="AJ22">
        <v>3</v>
      </c>
      <c r="AK22">
        <v>0</v>
      </c>
    </row>
    <row r="23" spans="1:37" ht="15.75" x14ac:dyDescent="0.25">
      <c r="A23" s="4">
        <v>22</v>
      </c>
      <c r="B23" s="29" t="s">
        <v>244</v>
      </c>
      <c r="C23" s="5" t="s">
        <v>32</v>
      </c>
      <c r="D23" s="5" t="s">
        <v>33</v>
      </c>
      <c r="E23" s="7">
        <v>24823</v>
      </c>
      <c r="F23" s="4" t="s">
        <v>240</v>
      </c>
      <c r="G23" s="6">
        <v>121</v>
      </c>
      <c r="H23" s="6">
        <v>121</v>
      </c>
      <c r="I23" s="6">
        <v>121</v>
      </c>
      <c r="J23" s="6">
        <v>363</v>
      </c>
      <c r="K23" s="6">
        <v>121</v>
      </c>
      <c r="L23" s="6">
        <v>121</v>
      </c>
      <c r="M23" s="6">
        <v>121</v>
      </c>
      <c r="N23" s="6">
        <v>363</v>
      </c>
      <c r="O23" s="6">
        <v>121</v>
      </c>
      <c r="P23" s="6">
        <v>120</v>
      </c>
      <c r="Q23" s="6">
        <v>120</v>
      </c>
      <c r="R23" s="6">
        <v>361</v>
      </c>
      <c r="S23" s="6">
        <v>120</v>
      </c>
      <c r="T23" s="6">
        <v>120</v>
      </c>
      <c r="U23" s="6">
        <v>120</v>
      </c>
      <c r="V23" s="6">
        <v>360</v>
      </c>
      <c r="W23" s="6">
        <v>120</v>
      </c>
      <c r="X23" s="6">
        <v>120</v>
      </c>
      <c r="Y23" s="6">
        <v>120</v>
      </c>
      <c r="Z23" s="6">
        <v>360</v>
      </c>
      <c r="AA23" s="4">
        <v>363</v>
      </c>
      <c r="AB23" s="25">
        <v>603</v>
      </c>
      <c r="AC23" s="25">
        <v>686</v>
      </c>
      <c r="AD23" s="25">
        <v>602</v>
      </c>
      <c r="AE23">
        <v>3254</v>
      </c>
      <c r="AF23" t="s">
        <v>198</v>
      </c>
      <c r="AG23" t="s">
        <v>198</v>
      </c>
      <c r="AH23" s="33">
        <v>5.7241220244155899E-2</v>
      </c>
      <c r="AI23" s="12">
        <v>0</v>
      </c>
      <c r="AJ23">
        <v>0</v>
      </c>
      <c r="AK23">
        <v>0</v>
      </c>
    </row>
    <row r="24" spans="1:37" ht="15.75" x14ac:dyDescent="0.25">
      <c r="A24" s="4">
        <v>23</v>
      </c>
      <c r="B24" s="29" t="s">
        <v>244</v>
      </c>
      <c r="C24" s="5" t="s">
        <v>32</v>
      </c>
      <c r="D24" s="5" t="s">
        <v>34</v>
      </c>
      <c r="E24" s="7">
        <v>37316</v>
      </c>
      <c r="F24" s="4" t="s">
        <v>240</v>
      </c>
      <c r="G24" s="6">
        <v>205</v>
      </c>
      <c r="H24" s="6">
        <v>205</v>
      </c>
      <c r="I24" s="6">
        <v>205</v>
      </c>
      <c r="J24" s="6">
        <v>615</v>
      </c>
      <c r="K24" s="6">
        <v>205</v>
      </c>
      <c r="L24" s="6">
        <v>205</v>
      </c>
      <c r="M24" s="6">
        <v>205</v>
      </c>
      <c r="N24" s="6">
        <v>615</v>
      </c>
      <c r="O24" s="6">
        <v>204</v>
      </c>
      <c r="P24" s="6">
        <v>204</v>
      </c>
      <c r="Q24" s="6">
        <v>204</v>
      </c>
      <c r="R24" s="6">
        <v>612</v>
      </c>
      <c r="S24" s="6">
        <v>204</v>
      </c>
      <c r="T24" s="6">
        <v>204</v>
      </c>
      <c r="U24" s="6">
        <v>204</v>
      </c>
      <c r="V24" s="6">
        <v>612</v>
      </c>
      <c r="W24" s="6">
        <v>203</v>
      </c>
      <c r="X24" s="6">
        <v>204</v>
      </c>
      <c r="Y24" s="6">
        <v>204</v>
      </c>
      <c r="Z24" s="6">
        <v>611</v>
      </c>
      <c r="AA24" s="4">
        <v>615</v>
      </c>
      <c r="AB24" s="25">
        <v>1021</v>
      </c>
      <c r="AC24" s="25">
        <v>980</v>
      </c>
      <c r="AD24" s="25">
        <v>1022</v>
      </c>
      <c r="AE24">
        <v>5519</v>
      </c>
      <c r="AF24" t="s">
        <v>198</v>
      </c>
      <c r="AG24" t="s">
        <v>198</v>
      </c>
      <c r="AH24" s="33">
        <v>0.1983837230529103</v>
      </c>
      <c r="AI24" s="12">
        <v>0</v>
      </c>
      <c r="AJ24">
        <v>0</v>
      </c>
      <c r="AK24">
        <v>0</v>
      </c>
    </row>
    <row r="25" spans="1:37" ht="15.75" x14ac:dyDescent="0.25">
      <c r="A25" s="4">
        <v>24</v>
      </c>
      <c r="B25" s="29" t="s">
        <v>244</v>
      </c>
      <c r="C25" s="5" t="s">
        <v>32</v>
      </c>
      <c r="D25" s="5" t="s">
        <v>35</v>
      </c>
      <c r="E25" s="7">
        <v>37317</v>
      </c>
      <c r="F25" s="4" t="s">
        <v>240</v>
      </c>
      <c r="G25" s="6">
        <v>163</v>
      </c>
      <c r="H25" s="6">
        <v>163</v>
      </c>
      <c r="I25" s="6">
        <v>163</v>
      </c>
      <c r="J25" s="6">
        <v>489</v>
      </c>
      <c r="K25" s="6">
        <v>163</v>
      </c>
      <c r="L25" s="6">
        <v>163</v>
      </c>
      <c r="M25" s="6">
        <v>162</v>
      </c>
      <c r="N25" s="6">
        <v>488</v>
      </c>
      <c r="O25" s="6">
        <v>162</v>
      </c>
      <c r="P25" s="6">
        <v>162</v>
      </c>
      <c r="Q25" s="6">
        <v>162</v>
      </c>
      <c r="R25" s="6">
        <v>486</v>
      </c>
      <c r="S25" s="6">
        <v>162</v>
      </c>
      <c r="T25" s="6">
        <v>162</v>
      </c>
      <c r="U25" s="6">
        <v>162</v>
      </c>
      <c r="V25" s="6">
        <v>486</v>
      </c>
      <c r="W25" s="6">
        <v>162</v>
      </c>
      <c r="X25" s="6">
        <v>162</v>
      </c>
      <c r="Y25" s="6">
        <v>162</v>
      </c>
      <c r="Z25" s="6">
        <v>486</v>
      </c>
      <c r="AA25" s="4">
        <v>489</v>
      </c>
      <c r="AB25" s="25">
        <v>812</v>
      </c>
      <c r="AC25" s="25">
        <v>687</v>
      </c>
      <c r="AD25" s="25">
        <v>811</v>
      </c>
      <c r="AE25">
        <v>4384</v>
      </c>
      <c r="AF25" t="s">
        <v>198</v>
      </c>
      <c r="AG25" t="s">
        <v>198</v>
      </c>
      <c r="AH25" s="33">
        <v>0.2005538442817224</v>
      </c>
      <c r="AI25" s="12">
        <v>0</v>
      </c>
      <c r="AJ25">
        <v>0</v>
      </c>
      <c r="AK25">
        <v>0</v>
      </c>
    </row>
    <row r="26" spans="1:37" ht="15.75" x14ac:dyDescent="0.25">
      <c r="A26" s="4">
        <v>25</v>
      </c>
      <c r="B26" s="29" t="s">
        <v>244</v>
      </c>
      <c r="C26" s="5" t="s">
        <v>32</v>
      </c>
      <c r="D26" s="5" t="s">
        <v>36</v>
      </c>
      <c r="E26" s="7">
        <v>38197</v>
      </c>
      <c r="F26" s="4" t="s">
        <v>240</v>
      </c>
      <c r="G26" s="6">
        <v>38</v>
      </c>
      <c r="H26" s="6">
        <v>38</v>
      </c>
      <c r="I26" s="6">
        <v>38</v>
      </c>
      <c r="J26" s="6">
        <v>114</v>
      </c>
      <c r="K26" s="6">
        <v>38</v>
      </c>
      <c r="L26" s="6">
        <v>37</v>
      </c>
      <c r="M26" s="6">
        <v>37</v>
      </c>
      <c r="N26" s="6">
        <v>112</v>
      </c>
      <c r="O26" s="6">
        <v>37</v>
      </c>
      <c r="P26" s="6">
        <v>37</v>
      </c>
      <c r="Q26" s="6">
        <v>37</v>
      </c>
      <c r="R26" s="6">
        <v>111</v>
      </c>
      <c r="S26" s="6">
        <v>37</v>
      </c>
      <c r="T26" s="6">
        <v>37</v>
      </c>
      <c r="U26" s="6">
        <v>37</v>
      </c>
      <c r="V26" s="6">
        <v>111</v>
      </c>
      <c r="W26" s="6">
        <v>37</v>
      </c>
      <c r="X26" s="6">
        <v>37</v>
      </c>
      <c r="Y26" s="6">
        <v>37</v>
      </c>
      <c r="Z26" s="6">
        <v>111</v>
      </c>
      <c r="AA26" s="4">
        <v>114</v>
      </c>
      <c r="AB26" s="25">
        <v>187</v>
      </c>
      <c r="AC26" s="25">
        <v>180</v>
      </c>
      <c r="AD26" s="25">
        <v>186</v>
      </c>
      <c r="AE26">
        <v>1007</v>
      </c>
      <c r="AF26" t="s">
        <v>198</v>
      </c>
      <c r="AG26" t="s">
        <v>198</v>
      </c>
      <c r="AH26" s="33">
        <v>0.49872493628364045</v>
      </c>
      <c r="AI26" s="12">
        <v>0</v>
      </c>
      <c r="AJ26">
        <v>0</v>
      </c>
      <c r="AK26">
        <v>0</v>
      </c>
    </row>
    <row r="27" spans="1:37" ht="15.75" x14ac:dyDescent="0.25">
      <c r="A27" s="4">
        <v>26</v>
      </c>
      <c r="B27" s="29" t="s">
        <v>244</v>
      </c>
      <c r="C27" s="5" t="s">
        <v>32</v>
      </c>
      <c r="D27" s="5" t="s">
        <v>37</v>
      </c>
      <c r="E27" s="7">
        <v>14441</v>
      </c>
      <c r="F27" s="4" t="s">
        <v>240</v>
      </c>
      <c r="G27" s="6">
        <v>33</v>
      </c>
      <c r="H27" s="6">
        <v>32</v>
      </c>
      <c r="I27" s="6">
        <v>32</v>
      </c>
      <c r="J27" s="6">
        <v>97</v>
      </c>
      <c r="K27" s="6">
        <v>32</v>
      </c>
      <c r="L27" s="6">
        <v>31</v>
      </c>
      <c r="M27" s="6">
        <v>31</v>
      </c>
      <c r="N27" s="6">
        <v>94</v>
      </c>
      <c r="O27" s="6">
        <v>31</v>
      </c>
      <c r="P27" s="6">
        <v>31</v>
      </c>
      <c r="Q27" s="6">
        <v>31</v>
      </c>
      <c r="R27" s="6">
        <v>93</v>
      </c>
      <c r="S27" s="6">
        <v>31</v>
      </c>
      <c r="T27" s="6">
        <v>31</v>
      </c>
      <c r="U27" s="6">
        <v>31</v>
      </c>
      <c r="V27" s="6">
        <v>93</v>
      </c>
      <c r="W27" s="6">
        <v>31</v>
      </c>
      <c r="X27" s="6">
        <v>31</v>
      </c>
      <c r="Y27" s="6">
        <v>31</v>
      </c>
      <c r="Z27" s="6">
        <v>93</v>
      </c>
      <c r="AA27" s="4">
        <v>97</v>
      </c>
      <c r="AB27" s="25">
        <v>157</v>
      </c>
      <c r="AC27" s="25">
        <v>225</v>
      </c>
      <c r="AD27" s="25">
        <v>156</v>
      </c>
      <c r="AE27">
        <v>847</v>
      </c>
      <c r="AF27" t="s">
        <v>198</v>
      </c>
      <c r="AG27" t="s">
        <v>198</v>
      </c>
      <c r="AH27" s="33">
        <v>0.5869245426204418</v>
      </c>
      <c r="AI27" s="12">
        <v>0</v>
      </c>
      <c r="AJ27">
        <v>0</v>
      </c>
      <c r="AK27">
        <v>0</v>
      </c>
    </row>
    <row r="28" spans="1:37" ht="15.75" x14ac:dyDescent="0.25">
      <c r="A28" s="4">
        <v>27</v>
      </c>
      <c r="B28" s="5" t="s">
        <v>236</v>
      </c>
      <c r="C28" s="5" t="s">
        <v>5</v>
      </c>
      <c r="D28" s="5" t="s">
        <v>6</v>
      </c>
      <c r="E28" s="7">
        <v>9535</v>
      </c>
      <c r="F28" s="4" t="s">
        <v>241</v>
      </c>
      <c r="G28" s="6">
        <v>101</v>
      </c>
      <c r="H28" s="6">
        <v>101</v>
      </c>
      <c r="I28" s="6">
        <v>101</v>
      </c>
      <c r="J28" s="6">
        <v>303</v>
      </c>
      <c r="K28" s="6">
        <v>101</v>
      </c>
      <c r="L28" s="6">
        <v>101</v>
      </c>
      <c r="M28" s="6">
        <v>101</v>
      </c>
      <c r="N28" s="6">
        <v>303</v>
      </c>
      <c r="O28" s="6">
        <v>101</v>
      </c>
      <c r="P28" s="6">
        <v>101</v>
      </c>
      <c r="Q28" s="6">
        <v>101</v>
      </c>
      <c r="R28" s="6">
        <v>303</v>
      </c>
      <c r="S28" s="6">
        <v>101</v>
      </c>
      <c r="T28" s="6">
        <v>101</v>
      </c>
      <c r="U28" s="6">
        <v>101</v>
      </c>
      <c r="V28" s="6">
        <v>303</v>
      </c>
      <c r="W28" s="6">
        <v>101</v>
      </c>
      <c r="X28" s="6">
        <v>101</v>
      </c>
      <c r="Y28" s="6">
        <v>101</v>
      </c>
      <c r="Z28" s="6">
        <v>303</v>
      </c>
      <c r="AA28" s="4">
        <v>303</v>
      </c>
      <c r="AB28" s="25">
        <v>505</v>
      </c>
      <c r="AC28" s="25">
        <v>630</v>
      </c>
      <c r="AD28" s="25">
        <v>505</v>
      </c>
      <c r="AE28">
        <v>2727</v>
      </c>
      <c r="AF28" t="s">
        <v>198</v>
      </c>
      <c r="AG28" t="s">
        <v>198</v>
      </c>
      <c r="AH28" s="33">
        <v>9.9294159327341092E-3</v>
      </c>
      <c r="AI28" s="12">
        <v>3.0045161049527862E-2</v>
      </c>
      <c r="AJ28">
        <v>0</v>
      </c>
      <c r="AK28">
        <v>0</v>
      </c>
    </row>
    <row r="29" spans="1:37" ht="15.75" x14ac:dyDescent="0.25">
      <c r="A29" s="4">
        <v>28</v>
      </c>
      <c r="B29" s="5" t="s">
        <v>236</v>
      </c>
      <c r="C29" s="5" t="s">
        <v>5</v>
      </c>
      <c r="D29" s="5" t="s">
        <v>6</v>
      </c>
      <c r="E29" s="7">
        <v>39994</v>
      </c>
      <c r="F29" s="4" t="s">
        <v>240</v>
      </c>
      <c r="G29" s="6">
        <v>226</v>
      </c>
      <c r="H29" s="6">
        <v>226</v>
      </c>
      <c r="I29" s="6">
        <v>226</v>
      </c>
      <c r="J29" s="6">
        <v>678</v>
      </c>
      <c r="K29" s="6">
        <v>226</v>
      </c>
      <c r="L29" s="6">
        <v>226</v>
      </c>
      <c r="M29" s="6">
        <v>226</v>
      </c>
      <c r="N29" s="6">
        <v>678</v>
      </c>
      <c r="O29" s="6">
        <v>226</v>
      </c>
      <c r="P29" s="6">
        <v>226</v>
      </c>
      <c r="Q29" s="6">
        <v>226</v>
      </c>
      <c r="R29" s="6">
        <v>678</v>
      </c>
      <c r="S29" s="6">
        <v>226</v>
      </c>
      <c r="T29" s="6">
        <v>226</v>
      </c>
      <c r="U29" s="6">
        <v>226</v>
      </c>
      <c r="V29" s="6">
        <v>678</v>
      </c>
      <c r="W29" s="6">
        <v>226</v>
      </c>
      <c r="X29" s="6">
        <v>226</v>
      </c>
      <c r="Y29" s="6">
        <v>226</v>
      </c>
      <c r="Z29" s="6">
        <v>678</v>
      </c>
      <c r="AA29" s="4">
        <v>678</v>
      </c>
      <c r="AB29" s="25">
        <v>1130</v>
      </c>
      <c r="AC29" s="25">
        <v>1054</v>
      </c>
      <c r="AD29" s="25">
        <v>1130</v>
      </c>
      <c r="AE29">
        <v>6102</v>
      </c>
      <c r="AF29" t="s">
        <v>198</v>
      </c>
      <c r="AG29" t="s">
        <v>198</v>
      </c>
      <c r="AH29" s="33">
        <v>0.68936380663543406</v>
      </c>
      <c r="AI29" s="12">
        <v>0</v>
      </c>
      <c r="AJ29">
        <v>0</v>
      </c>
      <c r="AK29">
        <v>0</v>
      </c>
    </row>
    <row r="30" spans="1:37" ht="15.75" x14ac:dyDescent="0.25">
      <c r="A30" s="4">
        <v>29</v>
      </c>
      <c r="B30" s="5" t="s">
        <v>236</v>
      </c>
      <c r="C30" s="5" t="s">
        <v>5</v>
      </c>
      <c r="D30" s="5" t="s">
        <v>6</v>
      </c>
      <c r="E30" s="7">
        <v>38111</v>
      </c>
      <c r="F30" s="4" t="s">
        <v>241</v>
      </c>
      <c r="G30" s="6">
        <v>150</v>
      </c>
      <c r="H30" s="6">
        <v>150</v>
      </c>
      <c r="I30" s="6">
        <v>150</v>
      </c>
      <c r="J30" s="6">
        <v>450</v>
      </c>
      <c r="K30" s="6">
        <v>150</v>
      </c>
      <c r="L30" s="6">
        <v>150</v>
      </c>
      <c r="M30" s="6">
        <v>150</v>
      </c>
      <c r="N30" s="6">
        <v>450</v>
      </c>
      <c r="O30" s="6">
        <v>150</v>
      </c>
      <c r="P30" s="6">
        <v>150</v>
      </c>
      <c r="Q30" s="6">
        <v>150</v>
      </c>
      <c r="R30" s="6">
        <v>450</v>
      </c>
      <c r="S30" s="6">
        <v>0</v>
      </c>
      <c r="T30" s="6">
        <v>150</v>
      </c>
      <c r="U30" s="6">
        <v>106</v>
      </c>
      <c r="V30" s="6">
        <v>256</v>
      </c>
      <c r="W30" s="6">
        <v>0</v>
      </c>
      <c r="X30" s="6">
        <v>0</v>
      </c>
      <c r="Y30" s="6">
        <v>0</v>
      </c>
      <c r="Z30" s="6">
        <v>0</v>
      </c>
      <c r="AA30" s="4">
        <v>450</v>
      </c>
      <c r="AB30" s="25">
        <v>450</v>
      </c>
      <c r="AC30" s="25">
        <v>920</v>
      </c>
      <c r="AD30" s="25">
        <v>556</v>
      </c>
      <c r="AE30">
        <v>3212</v>
      </c>
      <c r="AF30" t="s">
        <v>198</v>
      </c>
      <c r="AG30" t="s">
        <v>198</v>
      </c>
      <c r="AH30" s="33">
        <v>0.16978689406797942</v>
      </c>
      <c r="AI30" s="12">
        <v>0</v>
      </c>
      <c r="AJ30">
        <v>0</v>
      </c>
      <c r="AK30">
        <v>0</v>
      </c>
    </row>
    <row r="31" spans="1:37" ht="15.75" x14ac:dyDescent="0.25">
      <c r="A31" s="4">
        <v>30</v>
      </c>
      <c r="B31" s="5" t="s">
        <v>236</v>
      </c>
      <c r="C31" s="5" t="s">
        <v>5</v>
      </c>
      <c r="D31" s="5" t="s">
        <v>7</v>
      </c>
      <c r="E31" s="7">
        <v>38755</v>
      </c>
      <c r="F31" s="4" t="s">
        <v>240</v>
      </c>
      <c r="G31" s="6">
        <v>470</v>
      </c>
      <c r="H31" s="6">
        <v>470</v>
      </c>
      <c r="I31" s="6">
        <v>470</v>
      </c>
      <c r="J31" s="6">
        <v>1410</v>
      </c>
      <c r="K31" s="6">
        <v>470</v>
      </c>
      <c r="L31" s="6">
        <v>470</v>
      </c>
      <c r="M31" s="6">
        <v>470</v>
      </c>
      <c r="N31" s="6">
        <v>1410</v>
      </c>
      <c r="O31" s="6">
        <v>470</v>
      </c>
      <c r="P31" s="6">
        <v>470</v>
      </c>
      <c r="Q31" s="6">
        <v>470</v>
      </c>
      <c r="R31" s="6">
        <v>1410</v>
      </c>
      <c r="S31" s="6">
        <v>470</v>
      </c>
      <c r="T31" s="6">
        <v>470</v>
      </c>
      <c r="U31" s="6">
        <v>470</v>
      </c>
      <c r="V31" s="6">
        <v>1410</v>
      </c>
      <c r="W31" s="6">
        <v>470</v>
      </c>
      <c r="X31" s="6">
        <v>470</v>
      </c>
      <c r="Y31" s="6">
        <v>470</v>
      </c>
      <c r="Z31" s="6">
        <v>1410</v>
      </c>
      <c r="AA31" s="4">
        <v>1410</v>
      </c>
      <c r="AB31" s="25">
        <v>2350</v>
      </c>
      <c r="AC31" s="25">
        <v>2106</v>
      </c>
      <c r="AD31" s="25">
        <v>2350</v>
      </c>
      <c r="AE31">
        <v>12690</v>
      </c>
      <c r="AF31" t="s">
        <v>198</v>
      </c>
      <c r="AG31" t="s">
        <v>198</v>
      </c>
      <c r="AH31" s="33">
        <v>7.7389795235031422E-2</v>
      </c>
      <c r="AI31" s="12">
        <v>5.501774766053566E-2</v>
      </c>
      <c r="AJ31">
        <v>0</v>
      </c>
      <c r="AK31">
        <v>1</v>
      </c>
    </row>
    <row r="32" spans="1:37" ht="15.75" x14ac:dyDescent="0.25">
      <c r="A32" s="4">
        <v>31</v>
      </c>
      <c r="B32" s="5" t="s">
        <v>236</v>
      </c>
      <c r="C32" s="5" t="s">
        <v>5</v>
      </c>
      <c r="D32" s="5" t="s">
        <v>8</v>
      </c>
      <c r="E32" s="7">
        <v>34016</v>
      </c>
      <c r="F32" s="4" t="s">
        <v>240</v>
      </c>
      <c r="G32" s="6">
        <v>226</v>
      </c>
      <c r="H32" s="6">
        <v>226</v>
      </c>
      <c r="I32" s="6">
        <v>226</v>
      </c>
      <c r="J32" s="6">
        <v>678</v>
      </c>
      <c r="K32" s="6">
        <v>226</v>
      </c>
      <c r="L32" s="6">
        <v>226</v>
      </c>
      <c r="M32" s="6">
        <v>226</v>
      </c>
      <c r="N32" s="6">
        <v>678</v>
      </c>
      <c r="O32" s="6">
        <v>226</v>
      </c>
      <c r="P32" s="6">
        <v>226</v>
      </c>
      <c r="Q32" s="6">
        <v>226</v>
      </c>
      <c r="R32" s="6">
        <v>678</v>
      </c>
      <c r="S32" s="6">
        <v>226</v>
      </c>
      <c r="T32" s="6">
        <v>226</v>
      </c>
      <c r="U32" s="6">
        <v>226</v>
      </c>
      <c r="V32" s="6">
        <v>678</v>
      </c>
      <c r="W32" s="6">
        <v>226</v>
      </c>
      <c r="X32" s="6">
        <v>226</v>
      </c>
      <c r="Y32" s="6">
        <v>226</v>
      </c>
      <c r="Z32" s="6">
        <v>678</v>
      </c>
      <c r="AA32" s="4">
        <v>678</v>
      </c>
      <c r="AB32" s="25">
        <v>1130</v>
      </c>
      <c r="AC32" s="25">
        <v>1238</v>
      </c>
      <c r="AD32" s="25">
        <v>1130</v>
      </c>
      <c r="AE32">
        <v>6102</v>
      </c>
      <c r="AF32" t="s">
        <v>198</v>
      </c>
      <c r="AG32" t="s">
        <v>199</v>
      </c>
      <c r="AH32" s="33">
        <v>0.74884475163188002</v>
      </c>
      <c r="AI32" s="12">
        <v>0</v>
      </c>
      <c r="AJ32">
        <v>0</v>
      </c>
      <c r="AK32">
        <v>0</v>
      </c>
    </row>
    <row r="33" spans="1:37" ht="15.75" x14ac:dyDescent="0.25">
      <c r="A33" s="4">
        <v>32</v>
      </c>
      <c r="B33" s="5" t="s">
        <v>236</v>
      </c>
      <c r="C33" s="5" t="s">
        <v>5</v>
      </c>
      <c r="D33" s="5" t="s">
        <v>9</v>
      </c>
      <c r="E33" s="7">
        <v>38753</v>
      </c>
      <c r="F33" s="4" t="s">
        <v>241</v>
      </c>
      <c r="G33" s="6">
        <v>334</v>
      </c>
      <c r="H33" s="6">
        <v>334</v>
      </c>
      <c r="I33" s="6">
        <v>334</v>
      </c>
      <c r="J33" s="6">
        <v>1002</v>
      </c>
      <c r="K33" s="6">
        <v>334</v>
      </c>
      <c r="L33" s="6">
        <v>334</v>
      </c>
      <c r="M33" s="6">
        <v>334</v>
      </c>
      <c r="N33" s="6">
        <v>1002</v>
      </c>
      <c r="O33" s="6">
        <v>334</v>
      </c>
      <c r="P33" s="6">
        <v>334</v>
      </c>
      <c r="Q33" s="6">
        <v>334</v>
      </c>
      <c r="R33" s="6">
        <v>1002</v>
      </c>
      <c r="S33" s="6">
        <v>334</v>
      </c>
      <c r="T33" s="6">
        <v>334</v>
      </c>
      <c r="U33" s="6">
        <v>334</v>
      </c>
      <c r="V33" s="6">
        <v>1002</v>
      </c>
      <c r="W33" s="6">
        <v>334</v>
      </c>
      <c r="X33" s="6">
        <v>334</v>
      </c>
      <c r="Y33" s="6">
        <v>334</v>
      </c>
      <c r="Z33" s="6">
        <v>1002</v>
      </c>
      <c r="AA33" s="4">
        <v>1002</v>
      </c>
      <c r="AB33" s="25">
        <v>1670</v>
      </c>
      <c r="AC33" s="25">
        <v>1588</v>
      </c>
      <c r="AD33" s="25">
        <v>1670</v>
      </c>
      <c r="AE33">
        <v>9018</v>
      </c>
      <c r="AF33" t="s">
        <v>198</v>
      </c>
      <c r="AG33" t="s">
        <v>198</v>
      </c>
      <c r="AH33" s="33">
        <v>0.99283800447223902</v>
      </c>
      <c r="AI33" s="12" t="e">
        <v>#N/A</v>
      </c>
      <c r="AJ33">
        <v>0</v>
      </c>
      <c r="AK33">
        <v>0</v>
      </c>
    </row>
    <row r="34" spans="1:37" ht="15.75" x14ac:dyDescent="0.25">
      <c r="A34" s="4">
        <v>33</v>
      </c>
      <c r="B34" s="5" t="s">
        <v>236</v>
      </c>
      <c r="C34" s="5" t="s">
        <v>5</v>
      </c>
      <c r="D34" s="5" t="s">
        <v>9</v>
      </c>
      <c r="E34" s="30">
        <v>39993</v>
      </c>
      <c r="F34" s="4" t="s">
        <v>240</v>
      </c>
      <c r="G34" s="6">
        <v>252</v>
      </c>
      <c r="H34" s="6">
        <v>252</v>
      </c>
      <c r="I34" s="6">
        <v>252</v>
      </c>
      <c r="J34" s="6">
        <v>756</v>
      </c>
      <c r="K34" s="6">
        <v>252</v>
      </c>
      <c r="L34" s="6">
        <v>252</v>
      </c>
      <c r="M34" s="6">
        <v>252</v>
      </c>
      <c r="N34" s="6">
        <v>756</v>
      </c>
      <c r="O34" s="6">
        <v>252</v>
      </c>
      <c r="P34" s="6">
        <v>252</v>
      </c>
      <c r="Q34" s="6">
        <v>252</v>
      </c>
      <c r="R34" s="6">
        <v>756</v>
      </c>
      <c r="S34" s="6">
        <v>252</v>
      </c>
      <c r="T34" s="6">
        <v>252</v>
      </c>
      <c r="U34" s="6">
        <v>252</v>
      </c>
      <c r="V34" s="6">
        <v>756</v>
      </c>
      <c r="W34" s="6">
        <v>252</v>
      </c>
      <c r="X34" s="6">
        <v>252</v>
      </c>
      <c r="Y34" s="6">
        <v>252</v>
      </c>
      <c r="Z34" s="6">
        <v>756</v>
      </c>
      <c r="AA34" s="4">
        <v>756</v>
      </c>
      <c r="AB34" s="25">
        <v>1260</v>
      </c>
      <c r="AC34" s="25">
        <v>1465</v>
      </c>
      <c r="AD34" s="25">
        <v>1260</v>
      </c>
      <c r="AE34">
        <v>6804</v>
      </c>
      <c r="AF34" t="s">
        <v>198</v>
      </c>
      <c r="AG34" t="s">
        <v>198</v>
      </c>
      <c r="AH34" s="33">
        <v>0.51974901538315554</v>
      </c>
      <c r="AI34" s="12">
        <v>0</v>
      </c>
      <c r="AJ34">
        <v>1</v>
      </c>
      <c r="AK34">
        <v>0</v>
      </c>
    </row>
    <row r="35" spans="1:37" ht="15.75" x14ac:dyDescent="0.25">
      <c r="A35" s="4">
        <v>34</v>
      </c>
      <c r="B35" s="5" t="s">
        <v>236</v>
      </c>
      <c r="C35" s="5" t="s">
        <v>5</v>
      </c>
      <c r="D35" s="5" t="s">
        <v>9</v>
      </c>
      <c r="E35" s="7">
        <v>38247</v>
      </c>
      <c r="F35" s="4" t="s">
        <v>240</v>
      </c>
      <c r="G35" s="6">
        <v>457</v>
      </c>
      <c r="H35" s="6">
        <v>457</v>
      </c>
      <c r="I35" s="6">
        <v>457</v>
      </c>
      <c r="J35" s="6">
        <v>1371</v>
      </c>
      <c r="K35" s="6">
        <v>457</v>
      </c>
      <c r="L35" s="6">
        <v>457</v>
      </c>
      <c r="M35" s="6">
        <v>457</v>
      </c>
      <c r="N35" s="6">
        <v>1371</v>
      </c>
      <c r="O35" s="6">
        <v>457</v>
      </c>
      <c r="P35" s="6">
        <v>457</v>
      </c>
      <c r="Q35" s="6">
        <v>457</v>
      </c>
      <c r="R35" s="6">
        <v>1371</v>
      </c>
      <c r="S35" s="6">
        <v>457</v>
      </c>
      <c r="T35" s="6">
        <v>457</v>
      </c>
      <c r="U35" s="6">
        <v>457</v>
      </c>
      <c r="V35" s="6">
        <v>1371</v>
      </c>
      <c r="W35" s="6">
        <v>457</v>
      </c>
      <c r="X35" s="6">
        <v>457</v>
      </c>
      <c r="Y35" s="6">
        <v>457</v>
      </c>
      <c r="Z35" s="6">
        <v>1371</v>
      </c>
      <c r="AA35" s="4">
        <v>1371</v>
      </c>
      <c r="AB35" s="25">
        <v>2285</v>
      </c>
      <c r="AC35" s="25">
        <v>2179</v>
      </c>
      <c r="AD35" s="25">
        <v>2285</v>
      </c>
      <c r="AE35">
        <v>12339</v>
      </c>
      <c r="AF35" t="s">
        <v>198</v>
      </c>
      <c r="AG35" t="s">
        <v>198</v>
      </c>
      <c r="AH35" s="33">
        <v>1.9385040542475585E-3</v>
      </c>
      <c r="AI35" s="12">
        <v>0</v>
      </c>
      <c r="AJ35">
        <v>0</v>
      </c>
      <c r="AK35">
        <v>0</v>
      </c>
    </row>
    <row r="36" spans="1:37" ht="15.75" x14ac:dyDescent="0.25">
      <c r="A36" s="4">
        <v>35</v>
      </c>
      <c r="B36" s="5" t="s">
        <v>236</v>
      </c>
      <c r="C36" s="5" t="s">
        <v>5</v>
      </c>
      <c r="D36" s="5" t="s">
        <v>9</v>
      </c>
      <c r="E36" s="7">
        <v>40035</v>
      </c>
      <c r="F36" s="4" t="s">
        <v>241</v>
      </c>
      <c r="G36" s="6">
        <v>351</v>
      </c>
      <c r="H36" s="6">
        <v>351</v>
      </c>
      <c r="I36" s="6">
        <v>351</v>
      </c>
      <c r="J36" s="6">
        <v>1053</v>
      </c>
      <c r="K36" s="6">
        <v>351</v>
      </c>
      <c r="L36" s="6">
        <v>351</v>
      </c>
      <c r="M36" s="6">
        <v>351</v>
      </c>
      <c r="N36" s="6">
        <v>1053</v>
      </c>
      <c r="O36" s="6">
        <v>351</v>
      </c>
      <c r="P36" s="6">
        <v>351</v>
      </c>
      <c r="Q36" s="6">
        <v>351</v>
      </c>
      <c r="R36" s="6">
        <v>1053</v>
      </c>
      <c r="S36" s="6">
        <v>351</v>
      </c>
      <c r="T36" s="6">
        <v>351</v>
      </c>
      <c r="U36" s="6">
        <v>351</v>
      </c>
      <c r="V36" s="6">
        <v>1053</v>
      </c>
      <c r="W36" s="6">
        <v>349</v>
      </c>
      <c r="X36" s="6">
        <v>351</v>
      </c>
      <c r="Y36" s="6">
        <v>351</v>
      </c>
      <c r="Z36" s="6">
        <v>1051</v>
      </c>
      <c r="AA36" s="4">
        <v>1053</v>
      </c>
      <c r="AB36" s="25">
        <v>1753</v>
      </c>
      <c r="AC36" s="25">
        <v>1874</v>
      </c>
      <c r="AD36" s="25">
        <v>1755</v>
      </c>
      <c r="AE36">
        <v>9475</v>
      </c>
      <c r="AF36" t="s">
        <v>198</v>
      </c>
      <c r="AG36" t="s">
        <v>198</v>
      </c>
      <c r="AH36" s="33">
        <v>0.57026495996535287</v>
      </c>
      <c r="AI36" s="12" t="e">
        <v>#N/A</v>
      </c>
      <c r="AJ36">
        <v>0</v>
      </c>
      <c r="AK36">
        <v>0</v>
      </c>
    </row>
    <row r="37" spans="1:37" ht="15.75" x14ac:dyDescent="0.25">
      <c r="A37" s="4">
        <v>36</v>
      </c>
      <c r="B37" s="5" t="s">
        <v>236</v>
      </c>
      <c r="C37" s="5" t="s">
        <v>5</v>
      </c>
      <c r="D37" s="5" t="s">
        <v>10</v>
      </c>
      <c r="E37" s="7">
        <v>40112</v>
      </c>
      <c r="F37" s="4" t="s">
        <v>240</v>
      </c>
      <c r="G37" s="6">
        <v>470</v>
      </c>
      <c r="H37" s="6">
        <v>470</v>
      </c>
      <c r="I37" s="6">
        <v>470</v>
      </c>
      <c r="J37" s="6">
        <v>1410</v>
      </c>
      <c r="K37" s="6">
        <v>470</v>
      </c>
      <c r="L37" s="6">
        <v>470</v>
      </c>
      <c r="M37" s="6">
        <v>470</v>
      </c>
      <c r="N37" s="6">
        <v>1410</v>
      </c>
      <c r="O37" s="6">
        <v>470</v>
      </c>
      <c r="P37" s="6">
        <v>470</v>
      </c>
      <c r="Q37" s="6">
        <v>470</v>
      </c>
      <c r="R37" s="6">
        <v>1410</v>
      </c>
      <c r="S37" s="6">
        <v>470</v>
      </c>
      <c r="T37" s="6">
        <v>470</v>
      </c>
      <c r="U37" s="6">
        <v>470</v>
      </c>
      <c r="V37" s="6">
        <v>1410</v>
      </c>
      <c r="W37" s="6">
        <v>470</v>
      </c>
      <c r="X37" s="6">
        <v>470</v>
      </c>
      <c r="Y37" s="6">
        <v>470</v>
      </c>
      <c r="Z37" s="6">
        <v>1410</v>
      </c>
      <c r="AA37" s="4">
        <v>1410</v>
      </c>
      <c r="AB37" s="25">
        <v>2350</v>
      </c>
      <c r="AC37" s="25">
        <v>2112</v>
      </c>
      <c r="AD37" s="25">
        <v>2350</v>
      </c>
      <c r="AE37">
        <v>12690</v>
      </c>
      <c r="AF37" t="s">
        <v>198</v>
      </c>
      <c r="AG37" t="s">
        <v>198</v>
      </c>
      <c r="AH37" s="33">
        <v>0.83362955459426691</v>
      </c>
      <c r="AI37" s="12">
        <v>0</v>
      </c>
      <c r="AJ37">
        <v>0</v>
      </c>
      <c r="AK37">
        <v>0</v>
      </c>
    </row>
    <row r="38" spans="1:37" ht="15.75" x14ac:dyDescent="0.25">
      <c r="A38" s="4">
        <v>37</v>
      </c>
      <c r="B38" s="5" t="s">
        <v>236</v>
      </c>
      <c r="C38" s="5" t="s">
        <v>5</v>
      </c>
      <c r="D38" s="5" t="s">
        <v>10</v>
      </c>
      <c r="E38" s="7">
        <v>40111</v>
      </c>
      <c r="F38" s="4" t="s">
        <v>240</v>
      </c>
      <c r="G38" s="6">
        <v>232</v>
      </c>
      <c r="H38" s="6">
        <v>232</v>
      </c>
      <c r="I38" s="6">
        <v>232</v>
      </c>
      <c r="J38" s="6">
        <v>696</v>
      </c>
      <c r="K38" s="6">
        <v>232</v>
      </c>
      <c r="L38" s="6">
        <v>232</v>
      </c>
      <c r="M38" s="6">
        <v>232</v>
      </c>
      <c r="N38" s="6">
        <v>696</v>
      </c>
      <c r="O38" s="6">
        <v>232</v>
      </c>
      <c r="P38" s="6">
        <v>232</v>
      </c>
      <c r="Q38" s="6">
        <v>232</v>
      </c>
      <c r="R38" s="6">
        <v>696</v>
      </c>
      <c r="S38" s="6">
        <v>232</v>
      </c>
      <c r="T38" s="6">
        <v>232</v>
      </c>
      <c r="U38" s="6">
        <v>232</v>
      </c>
      <c r="V38" s="6">
        <v>696</v>
      </c>
      <c r="W38" s="6">
        <v>232</v>
      </c>
      <c r="X38" s="6">
        <v>232</v>
      </c>
      <c r="Y38" s="6">
        <v>232</v>
      </c>
      <c r="Z38" s="6">
        <v>696</v>
      </c>
      <c r="AA38" s="4">
        <v>696</v>
      </c>
      <c r="AB38" s="25">
        <v>1160</v>
      </c>
      <c r="AC38" s="25">
        <v>1398</v>
      </c>
      <c r="AD38" s="25">
        <v>1160</v>
      </c>
      <c r="AE38">
        <v>6264</v>
      </c>
      <c r="AF38" t="s">
        <v>198</v>
      </c>
      <c r="AG38" t="s">
        <v>198</v>
      </c>
      <c r="AH38" s="33">
        <v>0.703281133675695</v>
      </c>
      <c r="AI38" s="12">
        <v>0</v>
      </c>
      <c r="AJ38">
        <v>0</v>
      </c>
      <c r="AK38">
        <v>0</v>
      </c>
    </row>
    <row r="39" spans="1:37" ht="15.75" x14ac:dyDescent="0.25">
      <c r="A39" s="4">
        <v>38</v>
      </c>
      <c r="B39" s="5" t="s">
        <v>236</v>
      </c>
      <c r="C39" s="5" t="s">
        <v>5</v>
      </c>
      <c r="D39" s="5" t="s">
        <v>10</v>
      </c>
      <c r="E39" s="30">
        <v>38696</v>
      </c>
      <c r="F39" s="4" t="s">
        <v>240</v>
      </c>
      <c r="G39" s="6">
        <v>470</v>
      </c>
      <c r="H39" s="6">
        <v>470</v>
      </c>
      <c r="I39" s="6">
        <v>470</v>
      </c>
      <c r="J39" s="6">
        <v>1410</v>
      </c>
      <c r="K39" s="6">
        <v>470</v>
      </c>
      <c r="L39" s="6">
        <v>470</v>
      </c>
      <c r="M39" s="6">
        <v>470</v>
      </c>
      <c r="N39" s="6">
        <v>1410</v>
      </c>
      <c r="O39" s="6">
        <v>470</v>
      </c>
      <c r="P39" s="6">
        <v>470</v>
      </c>
      <c r="Q39" s="6">
        <v>470</v>
      </c>
      <c r="R39" s="6">
        <v>1410</v>
      </c>
      <c r="S39" s="6">
        <v>470</v>
      </c>
      <c r="T39" s="6">
        <v>470</v>
      </c>
      <c r="U39" s="6">
        <v>470</v>
      </c>
      <c r="V39" s="6">
        <v>1410</v>
      </c>
      <c r="W39" s="6">
        <v>470</v>
      </c>
      <c r="X39" s="6">
        <v>470</v>
      </c>
      <c r="Y39" s="6">
        <v>470</v>
      </c>
      <c r="Z39" s="6">
        <v>1410</v>
      </c>
      <c r="AA39" s="4">
        <v>1410</v>
      </c>
      <c r="AB39" s="25">
        <v>2350</v>
      </c>
      <c r="AC39" s="25">
        <v>2112</v>
      </c>
      <c r="AD39" s="25">
        <v>2350</v>
      </c>
      <c r="AE39">
        <v>12690</v>
      </c>
      <c r="AF39" t="s">
        <v>198</v>
      </c>
      <c r="AG39" t="s">
        <v>198</v>
      </c>
      <c r="AH39" s="33">
        <v>0.32466720913264902</v>
      </c>
      <c r="AI39" s="12">
        <v>2.6915708812260537E-2</v>
      </c>
      <c r="AJ39">
        <v>0</v>
      </c>
      <c r="AK39">
        <v>0</v>
      </c>
    </row>
    <row r="40" spans="1:37" ht="15.75" x14ac:dyDescent="0.25">
      <c r="A40" s="4">
        <v>39</v>
      </c>
      <c r="B40" s="5" t="s">
        <v>236</v>
      </c>
      <c r="C40" s="5" t="s">
        <v>5</v>
      </c>
      <c r="D40" s="5" t="s">
        <v>10</v>
      </c>
      <c r="E40" s="7">
        <v>40046</v>
      </c>
      <c r="F40" s="4" t="s">
        <v>240</v>
      </c>
      <c r="G40" s="6">
        <v>232</v>
      </c>
      <c r="H40" s="6">
        <v>232</v>
      </c>
      <c r="I40" s="6">
        <v>232</v>
      </c>
      <c r="J40" s="6">
        <v>696</v>
      </c>
      <c r="K40" s="6">
        <v>232</v>
      </c>
      <c r="L40" s="6">
        <v>232</v>
      </c>
      <c r="M40" s="6">
        <v>232</v>
      </c>
      <c r="N40" s="6">
        <v>696</v>
      </c>
      <c r="O40" s="6">
        <v>232</v>
      </c>
      <c r="P40" s="6">
        <v>232</v>
      </c>
      <c r="Q40" s="6">
        <v>232</v>
      </c>
      <c r="R40" s="6">
        <v>696</v>
      </c>
      <c r="S40" s="6">
        <v>232</v>
      </c>
      <c r="T40" s="6">
        <v>232</v>
      </c>
      <c r="U40" s="6">
        <v>232</v>
      </c>
      <c r="V40" s="6">
        <v>696</v>
      </c>
      <c r="W40" s="6">
        <v>232</v>
      </c>
      <c r="X40" s="6">
        <v>232</v>
      </c>
      <c r="Y40" s="6">
        <v>232</v>
      </c>
      <c r="Z40" s="6">
        <v>696</v>
      </c>
      <c r="AA40" s="4">
        <v>696</v>
      </c>
      <c r="AB40" s="25">
        <v>1160</v>
      </c>
      <c r="AC40" s="25">
        <v>1218</v>
      </c>
      <c r="AD40" s="25">
        <v>1160</v>
      </c>
      <c r="AE40">
        <v>6264</v>
      </c>
      <c r="AF40" t="s">
        <v>199</v>
      </c>
      <c r="AG40" t="s">
        <v>199</v>
      </c>
      <c r="AH40" s="33">
        <v>0.75128439736276365</v>
      </c>
      <c r="AI40" s="12">
        <v>2.8198433420365536E-2</v>
      </c>
      <c r="AJ40">
        <v>0</v>
      </c>
      <c r="AK40">
        <v>0</v>
      </c>
    </row>
    <row r="41" spans="1:37" ht="15.75" x14ac:dyDescent="0.25">
      <c r="A41" s="4">
        <v>40</v>
      </c>
      <c r="B41" s="5" t="s">
        <v>236</v>
      </c>
      <c r="C41" s="5" t="s">
        <v>5</v>
      </c>
      <c r="D41" s="5" t="s">
        <v>10</v>
      </c>
      <c r="E41" s="7">
        <v>38762</v>
      </c>
      <c r="F41" s="4" t="s">
        <v>241</v>
      </c>
      <c r="G41" s="6">
        <v>290</v>
      </c>
      <c r="H41" s="6">
        <v>290</v>
      </c>
      <c r="I41" s="6">
        <v>290</v>
      </c>
      <c r="J41" s="6">
        <v>870</v>
      </c>
      <c r="K41" s="6">
        <v>290</v>
      </c>
      <c r="L41" s="6">
        <v>290</v>
      </c>
      <c r="M41" s="6">
        <v>290</v>
      </c>
      <c r="N41" s="6">
        <v>870</v>
      </c>
      <c r="O41" s="6">
        <v>290</v>
      </c>
      <c r="P41" s="6">
        <v>290</v>
      </c>
      <c r="Q41" s="6">
        <v>290</v>
      </c>
      <c r="R41" s="6">
        <v>870</v>
      </c>
      <c r="S41" s="6">
        <v>290</v>
      </c>
      <c r="T41" s="6">
        <v>290</v>
      </c>
      <c r="U41" s="6">
        <v>290</v>
      </c>
      <c r="V41" s="6">
        <v>870</v>
      </c>
      <c r="W41" s="6">
        <v>290</v>
      </c>
      <c r="X41" s="6">
        <v>290</v>
      </c>
      <c r="Y41" s="6">
        <v>290</v>
      </c>
      <c r="Z41" s="6">
        <v>870</v>
      </c>
      <c r="AA41" s="4">
        <v>870</v>
      </c>
      <c r="AB41" s="25">
        <v>1450</v>
      </c>
      <c r="AC41" s="25">
        <v>1380</v>
      </c>
      <c r="AD41" s="25">
        <v>1450</v>
      </c>
      <c r="AE41">
        <v>7830</v>
      </c>
      <c r="AF41" t="s">
        <v>198</v>
      </c>
      <c r="AG41" t="s">
        <v>198</v>
      </c>
      <c r="AH41" s="33">
        <v>0.35416042154960248</v>
      </c>
      <c r="AI41" s="12">
        <v>6.3693270735524263E-2</v>
      </c>
      <c r="AJ41">
        <v>0</v>
      </c>
      <c r="AK41">
        <v>1</v>
      </c>
    </row>
    <row r="42" spans="1:37" ht="15.75" x14ac:dyDescent="0.25">
      <c r="A42" s="4">
        <v>41</v>
      </c>
      <c r="B42" s="5" t="s">
        <v>236</v>
      </c>
      <c r="C42" s="5" t="s">
        <v>5</v>
      </c>
      <c r="D42" s="5" t="s">
        <v>10</v>
      </c>
      <c r="E42" s="7">
        <v>11365</v>
      </c>
      <c r="F42" s="4" t="s">
        <v>241</v>
      </c>
      <c r="G42" s="6">
        <v>220</v>
      </c>
      <c r="H42" s="6">
        <v>220</v>
      </c>
      <c r="I42" s="6">
        <v>220</v>
      </c>
      <c r="J42" s="6">
        <v>660</v>
      </c>
      <c r="K42" s="6">
        <v>220</v>
      </c>
      <c r="L42" s="6">
        <v>220</v>
      </c>
      <c r="M42" s="6">
        <v>220</v>
      </c>
      <c r="N42" s="6">
        <v>660</v>
      </c>
      <c r="O42" s="6">
        <v>220</v>
      </c>
      <c r="P42" s="6">
        <v>220</v>
      </c>
      <c r="Q42" s="6">
        <v>220</v>
      </c>
      <c r="R42" s="6">
        <v>660</v>
      </c>
      <c r="S42" s="6">
        <v>220</v>
      </c>
      <c r="T42" s="6">
        <v>220</v>
      </c>
      <c r="U42" s="6">
        <v>220</v>
      </c>
      <c r="V42" s="6">
        <v>660</v>
      </c>
      <c r="W42" s="6">
        <v>220</v>
      </c>
      <c r="X42" s="6">
        <v>220</v>
      </c>
      <c r="Y42" s="6">
        <v>220</v>
      </c>
      <c r="Z42" s="6">
        <v>660</v>
      </c>
      <c r="AA42" s="4">
        <v>660</v>
      </c>
      <c r="AB42" s="25">
        <v>1100</v>
      </c>
      <c r="AC42" s="25">
        <v>1226</v>
      </c>
      <c r="AD42" s="25">
        <v>1100</v>
      </c>
      <c r="AE42">
        <v>5940</v>
      </c>
      <c r="AF42" t="s">
        <v>198</v>
      </c>
      <c r="AG42" t="s">
        <v>198</v>
      </c>
      <c r="AH42" s="33">
        <v>0.89883110926500298</v>
      </c>
      <c r="AI42" s="12">
        <v>1.7930677894114823E-2</v>
      </c>
      <c r="AJ42">
        <v>0</v>
      </c>
      <c r="AK42">
        <v>0</v>
      </c>
    </row>
    <row r="43" spans="1:37" ht="15.75" x14ac:dyDescent="0.25">
      <c r="A43" s="4">
        <v>42</v>
      </c>
      <c r="B43" s="5" t="s">
        <v>236</v>
      </c>
      <c r="C43" s="5" t="s">
        <v>5</v>
      </c>
      <c r="D43" s="5" t="s">
        <v>10</v>
      </c>
      <c r="E43" s="7">
        <v>9441</v>
      </c>
      <c r="F43" s="4" t="s">
        <v>241</v>
      </c>
      <c r="G43" s="6">
        <v>346</v>
      </c>
      <c r="H43" s="6">
        <v>346</v>
      </c>
      <c r="I43" s="6">
        <v>346</v>
      </c>
      <c r="J43" s="6">
        <v>1038</v>
      </c>
      <c r="K43" s="6">
        <v>346</v>
      </c>
      <c r="L43" s="6">
        <v>346</v>
      </c>
      <c r="M43" s="6">
        <v>346</v>
      </c>
      <c r="N43" s="6">
        <v>1038</v>
      </c>
      <c r="O43" s="6">
        <v>346</v>
      </c>
      <c r="P43" s="6">
        <v>346</v>
      </c>
      <c r="Q43" s="6">
        <v>346</v>
      </c>
      <c r="R43" s="6">
        <v>1038</v>
      </c>
      <c r="S43" s="6">
        <v>346</v>
      </c>
      <c r="T43" s="6">
        <v>346</v>
      </c>
      <c r="U43" s="6">
        <v>346</v>
      </c>
      <c r="V43" s="6">
        <v>1038</v>
      </c>
      <c r="W43" s="6">
        <v>346</v>
      </c>
      <c r="X43" s="6">
        <v>346</v>
      </c>
      <c r="Y43" s="6">
        <v>346</v>
      </c>
      <c r="Z43" s="6">
        <v>1038</v>
      </c>
      <c r="AA43" s="4">
        <v>1038</v>
      </c>
      <c r="AB43" s="25">
        <v>1730</v>
      </c>
      <c r="AC43" s="25">
        <v>1604</v>
      </c>
      <c r="AD43" s="25">
        <v>1730</v>
      </c>
      <c r="AE43">
        <v>9342</v>
      </c>
      <c r="AF43" t="s">
        <v>198</v>
      </c>
      <c r="AG43" t="s">
        <v>198</v>
      </c>
      <c r="AH43" s="33">
        <v>0.85435977687831255</v>
      </c>
      <c r="AI43" s="12">
        <v>9.5029821073558646E-2</v>
      </c>
      <c r="AJ43">
        <v>0</v>
      </c>
      <c r="AK43">
        <v>0</v>
      </c>
    </row>
    <row r="44" spans="1:37" ht="15.75" x14ac:dyDescent="0.25">
      <c r="A44" s="4">
        <v>43</v>
      </c>
      <c r="B44" s="5" t="s">
        <v>236</v>
      </c>
      <c r="C44" s="5" t="s">
        <v>5</v>
      </c>
      <c r="D44" s="5" t="s">
        <v>10</v>
      </c>
      <c r="E44" s="7">
        <v>22988</v>
      </c>
      <c r="F44" s="4" t="s">
        <v>241</v>
      </c>
      <c r="G44" s="6">
        <v>220</v>
      </c>
      <c r="H44" s="6">
        <v>220</v>
      </c>
      <c r="I44" s="6">
        <v>220</v>
      </c>
      <c r="J44" s="6">
        <v>660</v>
      </c>
      <c r="K44" s="6">
        <v>220</v>
      </c>
      <c r="L44" s="6">
        <v>220</v>
      </c>
      <c r="M44" s="6">
        <v>220</v>
      </c>
      <c r="N44" s="6">
        <v>660</v>
      </c>
      <c r="O44" s="6">
        <v>220</v>
      </c>
      <c r="P44" s="6">
        <v>220</v>
      </c>
      <c r="Q44" s="6">
        <v>220</v>
      </c>
      <c r="R44" s="6">
        <v>660</v>
      </c>
      <c r="S44" s="6">
        <v>220</v>
      </c>
      <c r="T44" s="6">
        <v>220</v>
      </c>
      <c r="U44" s="6">
        <v>220</v>
      </c>
      <c r="V44" s="6">
        <v>660</v>
      </c>
      <c r="W44" s="6">
        <v>220</v>
      </c>
      <c r="X44" s="6">
        <v>220</v>
      </c>
      <c r="Y44" s="6">
        <v>220</v>
      </c>
      <c r="Z44" s="6">
        <v>660</v>
      </c>
      <c r="AA44" s="4">
        <v>660</v>
      </c>
      <c r="AB44" s="25">
        <v>1100</v>
      </c>
      <c r="AC44" s="25">
        <v>1255</v>
      </c>
      <c r="AD44" s="25">
        <v>1100</v>
      </c>
      <c r="AE44">
        <v>5940</v>
      </c>
      <c r="AF44" t="s">
        <v>198</v>
      </c>
      <c r="AG44" t="s">
        <v>198</v>
      </c>
      <c r="AH44" s="33">
        <v>0.92704853569791568</v>
      </c>
      <c r="AI44" s="12" t="e">
        <v>#N/A</v>
      </c>
      <c r="AJ44">
        <v>0</v>
      </c>
      <c r="AK44">
        <v>0</v>
      </c>
    </row>
    <row r="45" spans="1:37" ht="15.75" x14ac:dyDescent="0.25">
      <c r="A45" s="4">
        <v>44</v>
      </c>
      <c r="B45" s="5" t="s">
        <v>236</v>
      </c>
      <c r="C45" s="5" t="s">
        <v>5</v>
      </c>
      <c r="D45" s="5" t="s">
        <v>10</v>
      </c>
      <c r="E45" s="7">
        <v>35607</v>
      </c>
      <c r="F45" s="4" t="s">
        <v>241</v>
      </c>
      <c r="G45" s="6">
        <v>375</v>
      </c>
      <c r="H45" s="6">
        <v>375</v>
      </c>
      <c r="I45" s="6">
        <v>375</v>
      </c>
      <c r="J45" s="6">
        <v>1125</v>
      </c>
      <c r="K45" s="6">
        <v>375</v>
      </c>
      <c r="L45" s="6">
        <v>375</v>
      </c>
      <c r="M45" s="6">
        <v>375</v>
      </c>
      <c r="N45" s="6">
        <v>1125</v>
      </c>
      <c r="O45" s="6">
        <v>375</v>
      </c>
      <c r="P45" s="6">
        <v>375</v>
      </c>
      <c r="Q45" s="6">
        <v>375</v>
      </c>
      <c r="R45" s="6">
        <v>1125</v>
      </c>
      <c r="S45" s="6">
        <v>375</v>
      </c>
      <c r="T45" s="6">
        <v>375</v>
      </c>
      <c r="U45" s="6">
        <v>375</v>
      </c>
      <c r="V45" s="6">
        <v>1125</v>
      </c>
      <c r="W45" s="6">
        <v>375</v>
      </c>
      <c r="X45" s="6">
        <v>375</v>
      </c>
      <c r="Y45" s="6">
        <v>375</v>
      </c>
      <c r="Z45" s="6">
        <v>1125</v>
      </c>
      <c r="AA45" s="4">
        <v>1125</v>
      </c>
      <c r="AB45" s="25">
        <v>1875</v>
      </c>
      <c r="AC45" s="25">
        <v>1720</v>
      </c>
      <c r="AD45" s="25">
        <v>1875</v>
      </c>
      <c r="AE45">
        <v>10125</v>
      </c>
      <c r="AF45" t="s">
        <v>198</v>
      </c>
      <c r="AG45" t="s">
        <v>198</v>
      </c>
      <c r="AH45" s="33">
        <v>0.6011723408700268</v>
      </c>
      <c r="AI45" s="12" t="e">
        <v>#N/A</v>
      </c>
      <c r="AJ45">
        <v>0</v>
      </c>
      <c r="AK45">
        <v>0</v>
      </c>
    </row>
    <row r="46" spans="1:37" ht="15.75" x14ac:dyDescent="0.25">
      <c r="A46" s="4">
        <v>45</v>
      </c>
      <c r="B46" s="5" t="s">
        <v>236</v>
      </c>
      <c r="C46" s="5" t="s">
        <v>5</v>
      </c>
      <c r="D46" s="5" t="s">
        <v>10</v>
      </c>
      <c r="E46" s="7">
        <v>15869</v>
      </c>
      <c r="F46" s="4" t="s">
        <v>241</v>
      </c>
      <c r="G46" s="6">
        <v>220</v>
      </c>
      <c r="H46" s="6">
        <v>220</v>
      </c>
      <c r="I46" s="6">
        <v>220</v>
      </c>
      <c r="J46" s="6">
        <v>660</v>
      </c>
      <c r="K46" s="6">
        <v>220</v>
      </c>
      <c r="L46" s="6">
        <v>220</v>
      </c>
      <c r="M46" s="6">
        <v>220</v>
      </c>
      <c r="N46" s="6">
        <v>660</v>
      </c>
      <c r="O46" s="6">
        <v>220</v>
      </c>
      <c r="P46" s="6">
        <v>220</v>
      </c>
      <c r="Q46" s="6">
        <v>220</v>
      </c>
      <c r="R46" s="6">
        <v>660</v>
      </c>
      <c r="S46" s="6">
        <v>220</v>
      </c>
      <c r="T46" s="6">
        <v>220</v>
      </c>
      <c r="U46" s="6">
        <v>220</v>
      </c>
      <c r="V46" s="6">
        <v>660</v>
      </c>
      <c r="W46" s="6">
        <v>220</v>
      </c>
      <c r="X46" s="6">
        <v>220</v>
      </c>
      <c r="Y46" s="6">
        <v>220</v>
      </c>
      <c r="Z46" s="6">
        <v>660</v>
      </c>
      <c r="AA46" s="4">
        <v>660</v>
      </c>
      <c r="AB46" s="25">
        <v>1100</v>
      </c>
      <c r="AC46" s="25">
        <v>1105</v>
      </c>
      <c r="AD46" s="25">
        <v>1100</v>
      </c>
      <c r="AE46">
        <v>5940</v>
      </c>
      <c r="AF46" t="s">
        <v>198</v>
      </c>
      <c r="AG46" t="s">
        <v>198</v>
      </c>
      <c r="AH46" s="33">
        <v>0.37896156376120538</v>
      </c>
      <c r="AI46" s="12">
        <v>0</v>
      </c>
      <c r="AJ46">
        <v>0</v>
      </c>
      <c r="AK46">
        <v>0</v>
      </c>
    </row>
    <row r="47" spans="1:37" ht="15.75" x14ac:dyDescent="0.25">
      <c r="A47" s="4">
        <v>46</v>
      </c>
      <c r="B47" s="5" t="s">
        <v>236</v>
      </c>
      <c r="C47" s="5" t="s">
        <v>5</v>
      </c>
      <c r="D47" s="5" t="s">
        <v>10</v>
      </c>
      <c r="E47" s="7">
        <v>8372</v>
      </c>
      <c r="F47" s="4" t="s">
        <v>241</v>
      </c>
      <c r="G47" s="6">
        <v>225</v>
      </c>
      <c r="H47" s="6">
        <v>225</v>
      </c>
      <c r="I47" s="6">
        <v>225</v>
      </c>
      <c r="J47" s="6">
        <v>675</v>
      </c>
      <c r="K47" s="6">
        <v>225</v>
      </c>
      <c r="L47" s="6">
        <v>225</v>
      </c>
      <c r="M47" s="6">
        <v>225</v>
      </c>
      <c r="N47" s="6">
        <v>675</v>
      </c>
      <c r="O47" s="6">
        <v>225</v>
      </c>
      <c r="P47" s="6">
        <v>225</v>
      </c>
      <c r="Q47" s="6">
        <v>225</v>
      </c>
      <c r="R47" s="6">
        <v>675</v>
      </c>
      <c r="S47" s="6">
        <v>225</v>
      </c>
      <c r="T47" s="6">
        <v>225</v>
      </c>
      <c r="U47" s="6">
        <v>225</v>
      </c>
      <c r="V47" s="6">
        <v>675</v>
      </c>
      <c r="W47" s="6">
        <v>225</v>
      </c>
      <c r="X47" s="6">
        <v>225</v>
      </c>
      <c r="Y47" s="6">
        <v>225</v>
      </c>
      <c r="Z47" s="6">
        <v>675</v>
      </c>
      <c r="AA47" s="4">
        <v>675</v>
      </c>
      <c r="AB47" s="25">
        <v>1125</v>
      </c>
      <c r="AC47" s="25">
        <v>1320</v>
      </c>
      <c r="AD47" s="25">
        <v>1125</v>
      </c>
      <c r="AE47">
        <v>6075</v>
      </c>
      <c r="AF47" t="s">
        <v>198</v>
      </c>
      <c r="AG47" t="s">
        <v>198</v>
      </c>
      <c r="AH47" s="33">
        <v>0.72695956421592367</v>
      </c>
      <c r="AI47" s="12">
        <v>0</v>
      </c>
      <c r="AJ47">
        <v>0</v>
      </c>
      <c r="AK47">
        <v>0</v>
      </c>
    </row>
    <row r="48" spans="1:37" ht="15.75" x14ac:dyDescent="0.25">
      <c r="A48" s="4">
        <v>47</v>
      </c>
      <c r="B48" s="5" t="s">
        <v>236</v>
      </c>
      <c r="C48" s="5" t="s">
        <v>5</v>
      </c>
      <c r="D48" s="5" t="s">
        <v>10</v>
      </c>
      <c r="E48" s="7">
        <v>22989</v>
      </c>
      <c r="F48" s="4" t="s">
        <v>241</v>
      </c>
      <c r="G48" s="6">
        <v>420</v>
      </c>
      <c r="H48" s="6">
        <v>420</v>
      </c>
      <c r="I48" s="6">
        <v>420</v>
      </c>
      <c r="J48" s="6">
        <v>1260</v>
      </c>
      <c r="K48" s="6">
        <v>420</v>
      </c>
      <c r="L48" s="6">
        <v>420</v>
      </c>
      <c r="M48" s="6">
        <v>420</v>
      </c>
      <c r="N48" s="6">
        <v>1260</v>
      </c>
      <c r="O48" s="6">
        <v>420</v>
      </c>
      <c r="P48" s="6">
        <v>420</v>
      </c>
      <c r="Q48" s="6">
        <v>420</v>
      </c>
      <c r="R48" s="6">
        <v>1260</v>
      </c>
      <c r="S48" s="6">
        <v>420</v>
      </c>
      <c r="T48" s="6">
        <v>420</v>
      </c>
      <c r="U48" s="6">
        <v>420</v>
      </c>
      <c r="V48" s="6">
        <v>1260</v>
      </c>
      <c r="W48" s="6">
        <v>420</v>
      </c>
      <c r="X48" s="6">
        <v>420</v>
      </c>
      <c r="Y48" s="6">
        <v>420</v>
      </c>
      <c r="Z48" s="6">
        <v>1260</v>
      </c>
      <c r="AA48" s="4">
        <v>1260</v>
      </c>
      <c r="AB48" s="25">
        <v>2100</v>
      </c>
      <c r="AC48" s="25">
        <v>2000</v>
      </c>
      <c r="AD48" s="25">
        <v>2100</v>
      </c>
      <c r="AE48">
        <v>11340</v>
      </c>
      <c r="AF48" t="s">
        <v>198</v>
      </c>
      <c r="AG48" t="s">
        <v>198</v>
      </c>
      <c r="AH48" s="33">
        <v>0.90639896522005403</v>
      </c>
      <c r="AI48" s="12">
        <v>2.9620853080568721E-2</v>
      </c>
      <c r="AJ48">
        <v>0</v>
      </c>
      <c r="AK48">
        <v>0</v>
      </c>
    </row>
    <row r="49" spans="1:37" ht="15.75" x14ac:dyDescent="0.25">
      <c r="A49" s="4">
        <v>48</v>
      </c>
      <c r="B49" s="5" t="s">
        <v>236</v>
      </c>
      <c r="C49" s="5" t="s">
        <v>5</v>
      </c>
      <c r="D49" s="5" t="s">
        <v>10</v>
      </c>
      <c r="E49" s="7">
        <v>8566</v>
      </c>
      <c r="F49" s="4" t="s">
        <v>241</v>
      </c>
      <c r="G49" s="6">
        <v>320</v>
      </c>
      <c r="H49" s="6">
        <v>320</v>
      </c>
      <c r="I49" s="6">
        <v>320</v>
      </c>
      <c r="J49" s="6">
        <v>960</v>
      </c>
      <c r="K49" s="6">
        <v>320</v>
      </c>
      <c r="L49" s="6">
        <v>320</v>
      </c>
      <c r="M49" s="6">
        <v>320</v>
      </c>
      <c r="N49" s="6">
        <v>960</v>
      </c>
      <c r="O49" s="6">
        <v>320</v>
      </c>
      <c r="P49" s="6">
        <v>320</v>
      </c>
      <c r="Q49" s="6">
        <v>320</v>
      </c>
      <c r="R49" s="6">
        <v>960</v>
      </c>
      <c r="S49" s="6">
        <v>320</v>
      </c>
      <c r="T49" s="6">
        <v>320</v>
      </c>
      <c r="U49" s="6">
        <v>320</v>
      </c>
      <c r="V49" s="6">
        <v>960</v>
      </c>
      <c r="W49" s="6">
        <v>320</v>
      </c>
      <c r="X49" s="6">
        <v>320</v>
      </c>
      <c r="Y49" s="6">
        <v>320</v>
      </c>
      <c r="Z49" s="6">
        <v>960</v>
      </c>
      <c r="AA49" s="4">
        <v>960</v>
      </c>
      <c r="AB49" s="25">
        <v>1600</v>
      </c>
      <c r="AC49" s="25">
        <v>1648</v>
      </c>
      <c r="AD49" s="25">
        <v>1600</v>
      </c>
      <c r="AE49">
        <v>8640</v>
      </c>
      <c r="AF49" t="s">
        <v>198</v>
      </c>
      <c r="AG49" t="s">
        <v>198</v>
      </c>
      <c r="AH49" s="33">
        <v>0.60515247659156168</v>
      </c>
      <c r="AI49" s="12" t="e">
        <v>#N/A</v>
      </c>
      <c r="AJ49">
        <v>0</v>
      </c>
      <c r="AK49">
        <v>0</v>
      </c>
    </row>
    <row r="50" spans="1:37" ht="15.75" x14ac:dyDescent="0.25">
      <c r="A50" s="4">
        <v>49</v>
      </c>
      <c r="B50" s="5" t="s">
        <v>236</v>
      </c>
      <c r="C50" s="5" t="s">
        <v>5</v>
      </c>
      <c r="D50" s="5" t="s">
        <v>10</v>
      </c>
      <c r="E50" s="7">
        <v>8389</v>
      </c>
      <c r="F50" s="4" t="s">
        <v>241</v>
      </c>
      <c r="G50" s="6">
        <v>368</v>
      </c>
      <c r="H50" s="6">
        <v>368</v>
      </c>
      <c r="I50" s="6">
        <v>368</v>
      </c>
      <c r="J50" s="6">
        <v>1104</v>
      </c>
      <c r="K50" s="6">
        <v>368</v>
      </c>
      <c r="L50" s="6">
        <v>368</v>
      </c>
      <c r="M50" s="6">
        <v>368</v>
      </c>
      <c r="N50" s="6">
        <v>1104</v>
      </c>
      <c r="O50" s="6">
        <v>368</v>
      </c>
      <c r="P50" s="6">
        <v>368</v>
      </c>
      <c r="Q50" s="6">
        <v>368</v>
      </c>
      <c r="R50" s="6">
        <v>1104</v>
      </c>
      <c r="S50" s="6">
        <v>368</v>
      </c>
      <c r="T50" s="6">
        <v>368</v>
      </c>
      <c r="U50" s="6">
        <v>368</v>
      </c>
      <c r="V50" s="6">
        <v>1104</v>
      </c>
      <c r="W50" s="6">
        <v>368</v>
      </c>
      <c r="X50" s="6">
        <v>368</v>
      </c>
      <c r="Y50" s="6">
        <v>368</v>
      </c>
      <c r="Z50" s="6">
        <v>1104</v>
      </c>
      <c r="AA50" s="4">
        <v>1104</v>
      </c>
      <c r="AB50" s="25">
        <v>1840</v>
      </c>
      <c r="AC50" s="25">
        <v>1738</v>
      </c>
      <c r="AD50" s="25">
        <v>1840</v>
      </c>
      <c r="AE50">
        <v>9936</v>
      </c>
      <c r="AF50" t="s">
        <v>198</v>
      </c>
      <c r="AG50" t="s">
        <v>198</v>
      </c>
      <c r="AH50" s="33">
        <v>0.69920584627670668</v>
      </c>
      <c r="AI50" s="12" t="e">
        <v>#N/A</v>
      </c>
      <c r="AJ50">
        <v>0</v>
      </c>
      <c r="AK50">
        <v>0</v>
      </c>
    </row>
    <row r="51" spans="1:37" ht="15.75" x14ac:dyDescent="0.25">
      <c r="A51" s="4">
        <v>50</v>
      </c>
      <c r="B51" s="5" t="s">
        <v>236</v>
      </c>
      <c r="C51" s="5" t="s">
        <v>5</v>
      </c>
      <c r="D51" s="5" t="s">
        <v>10</v>
      </c>
      <c r="E51" s="7">
        <v>16665</v>
      </c>
      <c r="F51" s="4" t="s">
        <v>241</v>
      </c>
      <c r="G51" s="6">
        <v>266</v>
      </c>
      <c r="H51" s="6">
        <v>266</v>
      </c>
      <c r="I51" s="6">
        <v>266</v>
      </c>
      <c r="J51" s="6">
        <v>798</v>
      </c>
      <c r="K51" s="6">
        <v>266</v>
      </c>
      <c r="L51" s="6">
        <v>266</v>
      </c>
      <c r="M51" s="6">
        <v>266</v>
      </c>
      <c r="N51" s="6">
        <v>798</v>
      </c>
      <c r="O51" s="6">
        <v>266</v>
      </c>
      <c r="P51" s="6">
        <v>266</v>
      </c>
      <c r="Q51" s="6">
        <v>266</v>
      </c>
      <c r="R51" s="6">
        <v>798</v>
      </c>
      <c r="S51" s="6">
        <v>266</v>
      </c>
      <c r="T51" s="6">
        <v>266</v>
      </c>
      <c r="U51" s="6">
        <v>266</v>
      </c>
      <c r="V51" s="6">
        <v>798</v>
      </c>
      <c r="W51" s="6">
        <v>266</v>
      </c>
      <c r="X51" s="6">
        <v>266</v>
      </c>
      <c r="Y51" s="6">
        <v>266</v>
      </c>
      <c r="Z51" s="6">
        <v>798</v>
      </c>
      <c r="AA51" s="4">
        <v>798</v>
      </c>
      <c r="AB51" s="25">
        <v>1330</v>
      </c>
      <c r="AC51" s="25">
        <v>1464</v>
      </c>
      <c r="AD51" s="25">
        <v>1330</v>
      </c>
      <c r="AE51">
        <v>7182</v>
      </c>
      <c r="AF51" t="s">
        <v>198</v>
      </c>
      <c r="AG51" t="s">
        <v>198</v>
      </c>
      <c r="AH51" s="33">
        <v>0.31523173852481767</v>
      </c>
      <c r="AI51" s="12" t="e">
        <v>#N/A</v>
      </c>
      <c r="AJ51">
        <v>0</v>
      </c>
      <c r="AK51">
        <v>0</v>
      </c>
    </row>
    <row r="52" spans="1:37" ht="15.75" x14ac:dyDescent="0.25">
      <c r="A52" s="4">
        <v>51</v>
      </c>
      <c r="B52" s="5" t="s">
        <v>236</v>
      </c>
      <c r="C52" s="5" t="s">
        <v>5</v>
      </c>
      <c r="D52" s="5" t="s">
        <v>10</v>
      </c>
      <c r="E52" s="7">
        <v>33998</v>
      </c>
      <c r="F52" s="4" t="s">
        <v>241</v>
      </c>
      <c r="G52" s="6">
        <v>400</v>
      </c>
      <c r="H52" s="6">
        <v>400</v>
      </c>
      <c r="I52" s="6">
        <v>400</v>
      </c>
      <c r="J52" s="6">
        <v>1200</v>
      </c>
      <c r="K52" s="6">
        <v>400</v>
      </c>
      <c r="L52" s="6">
        <v>400</v>
      </c>
      <c r="M52" s="6">
        <v>400</v>
      </c>
      <c r="N52" s="6">
        <v>1200</v>
      </c>
      <c r="O52" s="6">
        <v>400</v>
      </c>
      <c r="P52" s="6">
        <v>400</v>
      </c>
      <c r="Q52" s="6">
        <v>400</v>
      </c>
      <c r="R52" s="6">
        <v>1200</v>
      </c>
      <c r="S52" s="6">
        <v>400</v>
      </c>
      <c r="T52" s="6">
        <v>400</v>
      </c>
      <c r="U52" s="6">
        <v>400</v>
      </c>
      <c r="V52" s="6">
        <v>1200</v>
      </c>
      <c r="W52" s="6">
        <v>400</v>
      </c>
      <c r="X52" s="6">
        <v>400</v>
      </c>
      <c r="Y52" s="6">
        <v>400</v>
      </c>
      <c r="Z52" s="6">
        <v>1200</v>
      </c>
      <c r="AA52" s="4">
        <v>1200</v>
      </c>
      <c r="AB52" s="25">
        <v>2000</v>
      </c>
      <c r="AC52" s="25">
        <v>1910</v>
      </c>
      <c r="AD52" s="25">
        <v>2000</v>
      </c>
      <c r="AE52">
        <v>10800</v>
      </c>
      <c r="AF52" t="s">
        <v>198</v>
      </c>
      <c r="AG52" t="s">
        <v>198</v>
      </c>
      <c r="AH52" s="33">
        <v>0.35625758738251367</v>
      </c>
      <c r="AI52" s="12" t="e">
        <v>#N/A</v>
      </c>
      <c r="AJ52">
        <v>0</v>
      </c>
      <c r="AK52">
        <v>0</v>
      </c>
    </row>
    <row r="53" spans="1:37" ht="15.75" x14ac:dyDescent="0.25">
      <c r="A53" s="4">
        <v>52</v>
      </c>
      <c r="B53" s="5" t="s">
        <v>236</v>
      </c>
      <c r="C53" s="5" t="s">
        <v>5</v>
      </c>
      <c r="D53" s="5" t="s">
        <v>10</v>
      </c>
      <c r="E53" s="7">
        <v>8320</v>
      </c>
      <c r="F53" s="4" t="s">
        <v>241</v>
      </c>
      <c r="G53" s="6">
        <v>310</v>
      </c>
      <c r="H53" s="6">
        <v>310</v>
      </c>
      <c r="I53" s="6">
        <v>310</v>
      </c>
      <c r="J53" s="6">
        <v>930</v>
      </c>
      <c r="K53" s="6">
        <v>310</v>
      </c>
      <c r="L53" s="6">
        <v>310</v>
      </c>
      <c r="M53" s="6">
        <v>310</v>
      </c>
      <c r="N53" s="6">
        <v>930</v>
      </c>
      <c r="O53" s="6">
        <v>310</v>
      </c>
      <c r="P53" s="6">
        <v>310</v>
      </c>
      <c r="Q53" s="6">
        <v>310</v>
      </c>
      <c r="R53" s="6">
        <v>930</v>
      </c>
      <c r="S53" s="6">
        <v>310</v>
      </c>
      <c r="T53" s="6">
        <v>310</v>
      </c>
      <c r="U53" s="6">
        <v>310</v>
      </c>
      <c r="V53" s="6">
        <v>930</v>
      </c>
      <c r="W53" s="6">
        <v>310</v>
      </c>
      <c r="X53" s="6">
        <v>310</v>
      </c>
      <c r="Y53" s="6">
        <v>310</v>
      </c>
      <c r="Z53" s="6">
        <v>930</v>
      </c>
      <c r="AA53" s="4">
        <v>930</v>
      </c>
      <c r="AB53" s="25">
        <v>1550</v>
      </c>
      <c r="AC53" s="25">
        <v>1575</v>
      </c>
      <c r="AD53" s="25">
        <v>1550</v>
      </c>
      <c r="AE53">
        <v>8370</v>
      </c>
      <c r="AF53" t="s">
        <v>198</v>
      </c>
      <c r="AG53" t="s">
        <v>198</v>
      </c>
      <c r="AH53" s="33">
        <v>0.29585800021671327</v>
      </c>
      <c r="AI53" s="12" t="e">
        <v>#N/A</v>
      </c>
      <c r="AJ53">
        <v>0</v>
      </c>
      <c r="AK53">
        <v>0</v>
      </c>
    </row>
    <row r="54" spans="1:37" ht="15.75" x14ac:dyDescent="0.25">
      <c r="A54" s="4">
        <v>53</v>
      </c>
      <c r="B54" s="5" t="s">
        <v>236</v>
      </c>
      <c r="C54" s="5" t="s">
        <v>5</v>
      </c>
      <c r="D54" s="5" t="s">
        <v>10</v>
      </c>
      <c r="E54" s="7">
        <v>2790</v>
      </c>
      <c r="F54" s="4" t="s">
        <v>241</v>
      </c>
      <c r="G54" s="6">
        <v>335</v>
      </c>
      <c r="H54" s="6">
        <v>335</v>
      </c>
      <c r="I54" s="6">
        <v>335</v>
      </c>
      <c r="J54" s="6">
        <v>1005</v>
      </c>
      <c r="K54" s="6">
        <v>335</v>
      </c>
      <c r="L54" s="6">
        <v>335</v>
      </c>
      <c r="M54" s="6">
        <v>335</v>
      </c>
      <c r="N54" s="6">
        <v>1005</v>
      </c>
      <c r="O54" s="6">
        <v>335</v>
      </c>
      <c r="P54" s="6">
        <v>335</v>
      </c>
      <c r="Q54" s="6">
        <v>335</v>
      </c>
      <c r="R54" s="6">
        <v>1005</v>
      </c>
      <c r="S54" s="6">
        <v>335</v>
      </c>
      <c r="T54" s="6">
        <v>335</v>
      </c>
      <c r="U54" s="6">
        <v>335</v>
      </c>
      <c r="V54" s="6">
        <v>1005</v>
      </c>
      <c r="W54" s="6">
        <v>335</v>
      </c>
      <c r="X54" s="6">
        <v>335</v>
      </c>
      <c r="Y54" s="6">
        <v>335</v>
      </c>
      <c r="Z54" s="6">
        <v>1005</v>
      </c>
      <c r="AA54" s="4">
        <v>1005</v>
      </c>
      <c r="AB54" s="25">
        <v>1675</v>
      </c>
      <c r="AC54" s="25">
        <v>1646</v>
      </c>
      <c r="AD54" s="25">
        <v>1675</v>
      </c>
      <c r="AE54">
        <v>9045</v>
      </c>
      <c r="AF54" t="s">
        <v>199</v>
      </c>
      <c r="AG54" t="s">
        <v>198</v>
      </c>
      <c r="AH54" s="33">
        <v>0.82763133856214466</v>
      </c>
      <c r="AI54" s="12">
        <v>3.3071147658205222E-2</v>
      </c>
      <c r="AJ54">
        <v>0</v>
      </c>
      <c r="AK54">
        <v>0</v>
      </c>
    </row>
    <row r="55" spans="1:37" ht="15.75" x14ac:dyDescent="0.25">
      <c r="A55" s="4">
        <v>54</v>
      </c>
      <c r="B55" s="5" t="s">
        <v>236</v>
      </c>
      <c r="C55" s="5" t="s">
        <v>5</v>
      </c>
      <c r="D55" s="5" t="s">
        <v>10</v>
      </c>
      <c r="E55" s="7">
        <v>37518</v>
      </c>
      <c r="F55" s="4" t="s">
        <v>241</v>
      </c>
      <c r="G55" s="6">
        <v>306</v>
      </c>
      <c r="H55" s="6">
        <v>306</v>
      </c>
      <c r="I55" s="6">
        <v>306</v>
      </c>
      <c r="J55" s="6">
        <v>918</v>
      </c>
      <c r="K55" s="6">
        <v>306</v>
      </c>
      <c r="L55" s="6">
        <v>306</v>
      </c>
      <c r="M55" s="6">
        <v>306</v>
      </c>
      <c r="N55" s="6">
        <v>918</v>
      </c>
      <c r="O55" s="6">
        <v>306</v>
      </c>
      <c r="P55" s="6">
        <v>306</v>
      </c>
      <c r="Q55" s="6">
        <v>306</v>
      </c>
      <c r="R55" s="6">
        <v>918</v>
      </c>
      <c r="S55" s="6">
        <v>306</v>
      </c>
      <c r="T55" s="6">
        <v>306</v>
      </c>
      <c r="U55" s="6">
        <v>306</v>
      </c>
      <c r="V55" s="6">
        <v>918</v>
      </c>
      <c r="W55" s="6">
        <v>306</v>
      </c>
      <c r="X55" s="6">
        <v>306</v>
      </c>
      <c r="Y55" s="6">
        <v>306</v>
      </c>
      <c r="Z55" s="6">
        <v>918</v>
      </c>
      <c r="AA55" s="4">
        <v>918</v>
      </c>
      <c r="AB55" s="25">
        <v>1530</v>
      </c>
      <c r="AC55" s="25">
        <v>1474</v>
      </c>
      <c r="AD55" s="25">
        <v>1530</v>
      </c>
      <c r="AE55">
        <v>8262</v>
      </c>
      <c r="AF55" t="s">
        <v>198</v>
      </c>
      <c r="AG55" t="s">
        <v>198</v>
      </c>
      <c r="AH55" s="33">
        <v>1.223562240518683E-2</v>
      </c>
      <c r="AI55" s="12">
        <v>3.6649214659685861E-2</v>
      </c>
      <c r="AJ55">
        <v>0</v>
      </c>
      <c r="AK55">
        <v>0</v>
      </c>
    </row>
    <row r="56" spans="1:37" ht="15.75" x14ac:dyDescent="0.25">
      <c r="A56" s="4">
        <v>55</v>
      </c>
      <c r="B56" s="5" t="s">
        <v>236</v>
      </c>
      <c r="C56" s="5" t="s">
        <v>5</v>
      </c>
      <c r="D56" s="5" t="s">
        <v>10</v>
      </c>
      <c r="E56" s="7">
        <v>7906</v>
      </c>
      <c r="F56" s="4" t="s">
        <v>241</v>
      </c>
      <c r="G56" s="6">
        <v>250</v>
      </c>
      <c r="H56" s="6">
        <v>250</v>
      </c>
      <c r="I56" s="6">
        <v>250</v>
      </c>
      <c r="J56" s="6">
        <v>750</v>
      </c>
      <c r="K56" s="6">
        <v>250</v>
      </c>
      <c r="L56" s="6">
        <v>250</v>
      </c>
      <c r="M56" s="6">
        <v>250</v>
      </c>
      <c r="N56" s="6">
        <v>750</v>
      </c>
      <c r="O56" s="6">
        <v>250</v>
      </c>
      <c r="P56" s="6">
        <v>250</v>
      </c>
      <c r="Q56" s="6">
        <v>250</v>
      </c>
      <c r="R56" s="6">
        <v>750</v>
      </c>
      <c r="S56" s="6">
        <v>250</v>
      </c>
      <c r="T56" s="6">
        <v>250</v>
      </c>
      <c r="U56" s="6">
        <v>250</v>
      </c>
      <c r="V56" s="6">
        <v>750</v>
      </c>
      <c r="W56" s="6">
        <v>250</v>
      </c>
      <c r="X56" s="6">
        <v>250</v>
      </c>
      <c r="Y56" s="6">
        <v>250</v>
      </c>
      <c r="Z56" s="6">
        <v>750</v>
      </c>
      <c r="AA56" s="4">
        <v>750</v>
      </c>
      <c r="AB56" s="25">
        <v>1250</v>
      </c>
      <c r="AC56" s="25">
        <v>1266</v>
      </c>
      <c r="AD56" s="25">
        <v>1250</v>
      </c>
      <c r="AE56">
        <v>6750</v>
      </c>
      <c r="AF56" t="s">
        <v>199</v>
      </c>
      <c r="AG56" t="s">
        <v>198</v>
      </c>
      <c r="AH56" s="33">
        <v>0.62679818036003931</v>
      </c>
      <c r="AI56" s="12">
        <v>0</v>
      </c>
      <c r="AJ56">
        <v>0</v>
      </c>
      <c r="AK56">
        <v>0</v>
      </c>
    </row>
    <row r="57" spans="1:37" ht="15.75" x14ac:dyDescent="0.25">
      <c r="A57" s="4">
        <v>56</v>
      </c>
      <c r="B57" s="5" t="s">
        <v>236</v>
      </c>
      <c r="C57" s="5" t="s">
        <v>5</v>
      </c>
      <c r="D57" s="5" t="s">
        <v>10</v>
      </c>
      <c r="E57" s="7">
        <v>15320</v>
      </c>
      <c r="F57" s="4" t="s">
        <v>241</v>
      </c>
      <c r="G57" s="6">
        <v>266</v>
      </c>
      <c r="H57" s="6">
        <v>266</v>
      </c>
      <c r="I57" s="6">
        <v>266</v>
      </c>
      <c r="J57" s="6">
        <v>798</v>
      </c>
      <c r="K57" s="6">
        <v>266</v>
      </c>
      <c r="L57" s="6">
        <v>266</v>
      </c>
      <c r="M57" s="6">
        <v>266</v>
      </c>
      <c r="N57" s="6">
        <v>798</v>
      </c>
      <c r="O57" s="6">
        <v>266</v>
      </c>
      <c r="P57" s="6">
        <v>266</v>
      </c>
      <c r="Q57" s="6">
        <v>266</v>
      </c>
      <c r="R57" s="6">
        <v>798</v>
      </c>
      <c r="S57" s="6">
        <v>266</v>
      </c>
      <c r="T57" s="6">
        <v>266</v>
      </c>
      <c r="U57" s="6">
        <v>266</v>
      </c>
      <c r="V57" s="6">
        <v>798</v>
      </c>
      <c r="W57" s="6">
        <v>266</v>
      </c>
      <c r="X57" s="6">
        <v>266</v>
      </c>
      <c r="Y57" s="6">
        <v>266</v>
      </c>
      <c r="Z57" s="6">
        <v>798</v>
      </c>
      <c r="AA57" s="4">
        <v>798</v>
      </c>
      <c r="AB57" s="25">
        <v>1330</v>
      </c>
      <c r="AC57" s="25">
        <v>1330</v>
      </c>
      <c r="AD57" s="25">
        <v>1330</v>
      </c>
      <c r="AE57">
        <v>7182</v>
      </c>
      <c r="AF57" t="s">
        <v>198</v>
      </c>
      <c r="AG57" t="s">
        <v>198</v>
      </c>
      <c r="AH57" s="33">
        <v>0.99684840668232011</v>
      </c>
      <c r="AI57" s="12">
        <v>7.8756674294431728E-2</v>
      </c>
      <c r="AJ57">
        <v>2</v>
      </c>
      <c r="AK57">
        <v>0</v>
      </c>
    </row>
    <row r="58" spans="1:37" ht="15.75" x14ac:dyDescent="0.25">
      <c r="A58" s="4">
        <v>57</v>
      </c>
      <c r="B58" s="5" t="s">
        <v>236</v>
      </c>
      <c r="C58" s="5" t="s">
        <v>5</v>
      </c>
      <c r="D58" s="5" t="s">
        <v>10</v>
      </c>
      <c r="E58" s="7">
        <v>4869</v>
      </c>
      <c r="F58" s="4" t="s">
        <v>241</v>
      </c>
      <c r="G58" s="6">
        <v>266</v>
      </c>
      <c r="H58" s="6">
        <v>266</v>
      </c>
      <c r="I58" s="6">
        <v>266</v>
      </c>
      <c r="J58" s="6">
        <v>798</v>
      </c>
      <c r="K58" s="6">
        <v>266</v>
      </c>
      <c r="L58" s="6">
        <v>266</v>
      </c>
      <c r="M58" s="6">
        <v>266</v>
      </c>
      <c r="N58" s="6">
        <v>798</v>
      </c>
      <c r="O58" s="6">
        <v>266</v>
      </c>
      <c r="P58" s="6">
        <v>266</v>
      </c>
      <c r="Q58" s="6">
        <v>266</v>
      </c>
      <c r="R58" s="6">
        <v>798</v>
      </c>
      <c r="S58" s="6">
        <v>266</v>
      </c>
      <c r="T58" s="6">
        <v>266</v>
      </c>
      <c r="U58" s="6">
        <v>266</v>
      </c>
      <c r="V58" s="6">
        <v>798</v>
      </c>
      <c r="W58" s="6">
        <v>266</v>
      </c>
      <c r="X58" s="6">
        <v>266</v>
      </c>
      <c r="Y58" s="6">
        <v>266</v>
      </c>
      <c r="Z58" s="6">
        <v>798</v>
      </c>
      <c r="AA58" s="4">
        <v>798</v>
      </c>
      <c r="AB58" s="25">
        <v>1330</v>
      </c>
      <c r="AC58" s="25">
        <v>1340</v>
      </c>
      <c r="AD58" s="25">
        <v>1330</v>
      </c>
      <c r="AE58">
        <v>7182</v>
      </c>
      <c r="AF58" t="s">
        <v>198</v>
      </c>
      <c r="AG58" t="s">
        <v>198</v>
      </c>
      <c r="AH58" s="33">
        <v>0.56853264917813195</v>
      </c>
      <c r="AI58" s="12">
        <v>0</v>
      </c>
      <c r="AJ58">
        <v>0</v>
      </c>
      <c r="AK58">
        <v>0</v>
      </c>
    </row>
    <row r="59" spans="1:37" ht="15.75" x14ac:dyDescent="0.25">
      <c r="A59" s="4">
        <v>58</v>
      </c>
      <c r="B59" s="5" t="s">
        <v>236</v>
      </c>
      <c r="C59" s="5" t="s">
        <v>5</v>
      </c>
      <c r="D59" s="5" t="s">
        <v>10</v>
      </c>
      <c r="E59" s="30">
        <v>1295</v>
      </c>
      <c r="F59" s="4" t="s">
        <v>241</v>
      </c>
      <c r="G59" s="6">
        <v>276</v>
      </c>
      <c r="H59" s="6">
        <v>276</v>
      </c>
      <c r="I59" s="6">
        <v>276</v>
      </c>
      <c r="J59" s="6">
        <v>828</v>
      </c>
      <c r="K59" s="6">
        <v>276</v>
      </c>
      <c r="L59" s="6">
        <v>276</v>
      </c>
      <c r="M59" s="6">
        <v>276</v>
      </c>
      <c r="N59" s="6">
        <v>828</v>
      </c>
      <c r="O59" s="6">
        <v>276</v>
      </c>
      <c r="P59" s="6">
        <v>276</v>
      </c>
      <c r="Q59" s="6">
        <v>276</v>
      </c>
      <c r="R59" s="6">
        <v>828</v>
      </c>
      <c r="S59" s="6">
        <v>276</v>
      </c>
      <c r="T59" s="6">
        <v>276</v>
      </c>
      <c r="U59" s="6">
        <v>276</v>
      </c>
      <c r="V59" s="6">
        <v>828</v>
      </c>
      <c r="W59" s="6">
        <v>276</v>
      </c>
      <c r="X59" s="6">
        <v>276</v>
      </c>
      <c r="Y59" s="6">
        <v>276</v>
      </c>
      <c r="Z59" s="6">
        <v>828</v>
      </c>
      <c r="AA59" s="4">
        <v>828</v>
      </c>
      <c r="AB59" s="25">
        <v>1380</v>
      </c>
      <c r="AC59" s="25">
        <v>1421</v>
      </c>
      <c r="AD59" s="25">
        <v>1380</v>
      </c>
      <c r="AE59">
        <v>7452</v>
      </c>
      <c r="AF59" t="s">
        <v>198</v>
      </c>
      <c r="AG59" t="s">
        <v>199</v>
      </c>
      <c r="AH59" s="33">
        <v>5.6273582802959021E-2</v>
      </c>
      <c r="AI59" s="12">
        <v>0</v>
      </c>
      <c r="AJ59">
        <v>0</v>
      </c>
      <c r="AK59">
        <v>0</v>
      </c>
    </row>
    <row r="60" spans="1:37" ht="15.75" x14ac:dyDescent="0.25">
      <c r="A60" s="4">
        <v>59</v>
      </c>
      <c r="B60" s="5" t="s">
        <v>236</v>
      </c>
      <c r="C60" s="5" t="s">
        <v>5</v>
      </c>
      <c r="D60" s="5" t="s">
        <v>10</v>
      </c>
      <c r="E60" s="30">
        <v>16698</v>
      </c>
      <c r="F60" s="4" t="s">
        <v>241</v>
      </c>
      <c r="G60" s="6">
        <v>317</v>
      </c>
      <c r="H60" s="6">
        <v>317</v>
      </c>
      <c r="I60" s="6">
        <v>317</v>
      </c>
      <c r="J60" s="6">
        <v>951</v>
      </c>
      <c r="K60" s="6">
        <v>317</v>
      </c>
      <c r="L60" s="6">
        <v>317</v>
      </c>
      <c r="M60" s="6">
        <v>317</v>
      </c>
      <c r="N60" s="6">
        <v>951</v>
      </c>
      <c r="O60" s="6">
        <v>317</v>
      </c>
      <c r="P60" s="6">
        <v>317</v>
      </c>
      <c r="Q60" s="6">
        <v>317</v>
      </c>
      <c r="R60" s="6">
        <v>951</v>
      </c>
      <c r="S60" s="6">
        <v>317</v>
      </c>
      <c r="T60" s="6">
        <v>317</v>
      </c>
      <c r="U60" s="6">
        <v>317</v>
      </c>
      <c r="V60" s="6">
        <v>951</v>
      </c>
      <c r="W60" s="6">
        <v>317</v>
      </c>
      <c r="X60" s="6">
        <v>317</v>
      </c>
      <c r="Y60" s="6">
        <v>317</v>
      </c>
      <c r="Z60" s="6">
        <v>951</v>
      </c>
      <c r="AA60" s="4">
        <v>951</v>
      </c>
      <c r="AB60" s="25">
        <v>1585</v>
      </c>
      <c r="AC60" s="25">
        <v>1534</v>
      </c>
      <c r="AD60" s="25">
        <v>1585</v>
      </c>
      <c r="AE60">
        <v>8559</v>
      </c>
      <c r="AF60" t="s">
        <v>198</v>
      </c>
      <c r="AG60" t="s">
        <v>198</v>
      </c>
      <c r="AH60" s="33">
        <v>0.49319685346200659</v>
      </c>
      <c r="AI60" s="12">
        <v>2.414615697911212E-2</v>
      </c>
      <c r="AJ60">
        <v>0</v>
      </c>
      <c r="AK60">
        <v>0</v>
      </c>
    </row>
    <row r="61" spans="1:37" ht="15.75" x14ac:dyDescent="0.25">
      <c r="A61" s="4">
        <v>60</v>
      </c>
      <c r="B61" s="5" t="s">
        <v>236</v>
      </c>
      <c r="C61" s="5" t="s">
        <v>5</v>
      </c>
      <c r="D61" s="5" t="s">
        <v>10</v>
      </c>
      <c r="E61" s="30">
        <v>7908</v>
      </c>
      <c r="F61" s="4" t="s">
        <v>241</v>
      </c>
      <c r="G61" s="6">
        <v>266</v>
      </c>
      <c r="H61" s="6">
        <v>266</v>
      </c>
      <c r="I61" s="6">
        <v>266</v>
      </c>
      <c r="J61" s="6">
        <v>798</v>
      </c>
      <c r="K61" s="6">
        <v>266</v>
      </c>
      <c r="L61" s="6">
        <v>266</v>
      </c>
      <c r="M61" s="6">
        <v>266</v>
      </c>
      <c r="N61" s="6">
        <v>798</v>
      </c>
      <c r="O61" s="6">
        <v>266</v>
      </c>
      <c r="P61" s="6">
        <v>266</v>
      </c>
      <c r="Q61" s="6">
        <v>266</v>
      </c>
      <c r="R61" s="6">
        <v>798</v>
      </c>
      <c r="S61" s="6">
        <v>266</v>
      </c>
      <c r="T61" s="6">
        <v>266</v>
      </c>
      <c r="U61" s="6">
        <v>266</v>
      </c>
      <c r="V61" s="6">
        <v>798</v>
      </c>
      <c r="W61" s="6">
        <v>266</v>
      </c>
      <c r="X61" s="6">
        <v>266</v>
      </c>
      <c r="Y61" s="6">
        <v>266</v>
      </c>
      <c r="Z61" s="6">
        <v>798</v>
      </c>
      <c r="AA61" s="4">
        <v>798</v>
      </c>
      <c r="AB61" s="25">
        <v>1330</v>
      </c>
      <c r="AC61" s="25">
        <v>1299</v>
      </c>
      <c r="AD61" s="25">
        <v>1330</v>
      </c>
      <c r="AE61">
        <v>7182</v>
      </c>
      <c r="AF61" t="s">
        <v>198</v>
      </c>
      <c r="AG61" t="s">
        <v>198</v>
      </c>
      <c r="AH61" s="33">
        <v>0.23628425893018368</v>
      </c>
      <c r="AI61" s="12">
        <v>0</v>
      </c>
      <c r="AJ61">
        <v>0</v>
      </c>
      <c r="AK61">
        <v>0</v>
      </c>
    </row>
    <row r="62" spans="1:37" ht="15.75" x14ac:dyDescent="0.25">
      <c r="A62" s="4">
        <v>61</v>
      </c>
      <c r="B62" s="5" t="s">
        <v>236</v>
      </c>
      <c r="C62" s="5" t="s">
        <v>5</v>
      </c>
      <c r="D62" s="5" t="s">
        <v>10</v>
      </c>
      <c r="E62" s="7">
        <v>37362</v>
      </c>
      <c r="F62" s="4" t="s">
        <v>241</v>
      </c>
      <c r="G62" s="6">
        <v>235</v>
      </c>
      <c r="H62" s="6">
        <v>235</v>
      </c>
      <c r="I62" s="6">
        <v>235</v>
      </c>
      <c r="J62" s="6">
        <v>705</v>
      </c>
      <c r="K62" s="6">
        <v>235</v>
      </c>
      <c r="L62" s="6">
        <v>235</v>
      </c>
      <c r="M62" s="6">
        <v>235</v>
      </c>
      <c r="N62" s="6">
        <v>705</v>
      </c>
      <c r="O62" s="6">
        <v>235</v>
      </c>
      <c r="P62" s="6">
        <v>235</v>
      </c>
      <c r="Q62" s="6">
        <v>235</v>
      </c>
      <c r="R62" s="6">
        <v>705</v>
      </c>
      <c r="S62" s="6">
        <v>235</v>
      </c>
      <c r="T62" s="6">
        <v>235</v>
      </c>
      <c r="U62" s="6">
        <v>235</v>
      </c>
      <c r="V62" s="6">
        <v>705</v>
      </c>
      <c r="W62" s="6">
        <v>235</v>
      </c>
      <c r="X62" s="6">
        <v>235</v>
      </c>
      <c r="Y62" s="6">
        <v>235</v>
      </c>
      <c r="Z62" s="6">
        <v>705</v>
      </c>
      <c r="AA62" s="4">
        <v>705</v>
      </c>
      <c r="AB62" s="25">
        <v>1175</v>
      </c>
      <c r="AC62" s="25">
        <v>1270</v>
      </c>
      <c r="AD62" s="25">
        <v>1175</v>
      </c>
      <c r="AE62">
        <v>6345</v>
      </c>
      <c r="AF62" t="s">
        <v>198</v>
      </c>
      <c r="AG62" t="s">
        <v>198</v>
      </c>
      <c r="AH62" s="33">
        <v>0.85335153243274697</v>
      </c>
      <c r="AI62" s="12">
        <v>0</v>
      </c>
      <c r="AJ62">
        <v>0</v>
      </c>
      <c r="AK62">
        <v>0</v>
      </c>
    </row>
    <row r="63" spans="1:37" ht="15.75" x14ac:dyDescent="0.25">
      <c r="A63" s="4">
        <v>62</v>
      </c>
      <c r="B63" s="5" t="s">
        <v>236</v>
      </c>
      <c r="C63" s="5" t="s">
        <v>5</v>
      </c>
      <c r="D63" s="5" t="s">
        <v>10</v>
      </c>
      <c r="E63" s="30">
        <v>37365</v>
      </c>
      <c r="F63" s="4" t="s">
        <v>241</v>
      </c>
      <c r="G63" s="6">
        <v>330</v>
      </c>
      <c r="H63" s="6">
        <v>330</v>
      </c>
      <c r="I63" s="6">
        <v>330</v>
      </c>
      <c r="J63" s="6">
        <v>990</v>
      </c>
      <c r="K63" s="6">
        <v>330</v>
      </c>
      <c r="L63" s="6">
        <v>330</v>
      </c>
      <c r="M63" s="6">
        <v>330</v>
      </c>
      <c r="N63" s="6">
        <v>990</v>
      </c>
      <c r="O63" s="6">
        <v>330</v>
      </c>
      <c r="P63" s="6">
        <v>330</v>
      </c>
      <c r="Q63" s="6">
        <v>330</v>
      </c>
      <c r="R63" s="6">
        <v>990</v>
      </c>
      <c r="S63" s="6">
        <v>330</v>
      </c>
      <c r="T63" s="6">
        <v>330</v>
      </c>
      <c r="U63" s="6">
        <v>330</v>
      </c>
      <c r="V63" s="6">
        <v>990</v>
      </c>
      <c r="W63" s="6">
        <v>330</v>
      </c>
      <c r="X63" s="6">
        <v>330</v>
      </c>
      <c r="Y63" s="6">
        <v>330</v>
      </c>
      <c r="Z63" s="6">
        <v>990</v>
      </c>
      <c r="AA63" s="4">
        <v>990</v>
      </c>
      <c r="AB63" s="25">
        <v>1650</v>
      </c>
      <c r="AC63" s="25">
        <v>1606</v>
      </c>
      <c r="AD63" s="25">
        <v>1650</v>
      </c>
      <c r="AE63">
        <v>8910</v>
      </c>
      <c r="AF63" t="s">
        <v>198</v>
      </c>
      <c r="AG63" t="s">
        <v>198</v>
      </c>
      <c r="AH63" s="33">
        <v>0.12828785486267569</v>
      </c>
      <c r="AI63" s="12">
        <v>0</v>
      </c>
      <c r="AJ63">
        <v>0</v>
      </c>
      <c r="AK63">
        <v>0</v>
      </c>
    </row>
    <row r="64" spans="1:37" ht="15.75" x14ac:dyDescent="0.25">
      <c r="A64" s="4">
        <v>63</v>
      </c>
      <c r="B64" s="5" t="s">
        <v>236</v>
      </c>
      <c r="C64" s="5" t="s">
        <v>5</v>
      </c>
      <c r="D64" s="5" t="s">
        <v>10</v>
      </c>
      <c r="E64" s="30">
        <v>16699</v>
      </c>
      <c r="F64" s="4" t="s">
        <v>241</v>
      </c>
      <c r="G64" s="6">
        <v>286</v>
      </c>
      <c r="H64" s="6">
        <v>286</v>
      </c>
      <c r="I64" s="6">
        <v>286</v>
      </c>
      <c r="J64" s="6">
        <v>858</v>
      </c>
      <c r="K64" s="6">
        <v>286</v>
      </c>
      <c r="L64" s="6">
        <v>286</v>
      </c>
      <c r="M64" s="6">
        <v>286</v>
      </c>
      <c r="N64" s="6">
        <v>858</v>
      </c>
      <c r="O64" s="6">
        <v>286</v>
      </c>
      <c r="P64" s="6">
        <v>286</v>
      </c>
      <c r="Q64" s="6">
        <v>286</v>
      </c>
      <c r="R64" s="6">
        <v>858</v>
      </c>
      <c r="S64" s="6">
        <v>286</v>
      </c>
      <c r="T64" s="6">
        <v>286</v>
      </c>
      <c r="U64" s="6">
        <v>286</v>
      </c>
      <c r="V64" s="6">
        <v>858</v>
      </c>
      <c r="W64" s="6">
        <v>286</v>
      </c>
      <c r="X64" s="6">
        <v>286</v>
      </c>
      <c r="Y64" s="6">
        <v>286</v>
      </c>
      <c r="Z64" s="6">
        <v>858</v>
      </c>
      <c r="AA64" s="4">
        <v>858</v>
      </c>
      <c r="AB64" s="25">
        <v>1430</v>
      </c>
      <c r="AC64" s="25">
        <v>1519</v>
      </c>
      <c r="AD64" s="25">
        <v>1430</v>
      </c>
      <c r="AE64">
        <v>7722</v>
      </c>
      <c r="AF64" t="s">
        <v>198</v>
      </c>
      <c r="AG64" t="s">
        <v>198</v>
      </c>
      <c r="AH64" s="33">
        <v>8.8284078517576359E-2</v>
      </c>
      <c r="AI64" s="12">
        <v>0</v>
      </c>
      <c r="AJ64">
        <v>0</v>
      </c>
      <c r="AK64">
        <v>0</v>
      </c>
    </row>
    <row r="65" spans="1:37" ht="15.75" x14ac:dyDescent="0.25">
      <c r="A65" s="4">
        <v>64</v>
      </c>
      <c r="B65" s="5" t="s">
        <v>236</v>
      </c>
      <c r="C65" s="5" t="s">
        <v>5</v>
      </c>
      <c r="D65" s="5" t="s">
        <v>10</v>
      </c>
      <c r="E65" s="30">
        <v>15284</v>
      </c>
      <c r="F65" s="4" t="s">
        <v>241</v>
      </c>
      <c r="G65" s="6">
        <v>375</v>
      </c>
      <c r="H65" s="6">
        <v>375</v>
      </c>
      <c r="I65" s="6">
        <v>375</v>
      </c>
      <c r="J65" s="6">
        <v>1125</v>
      </c>
      <c r="K65" s="6">
        <v>375</v>
      </c>
      <c r="L65" s="6">
        <v>375</v>
      </c>
      <c r="M65" s="6">
        <v>375</v>
      </c>
      <c r="N65" s="6">
        <v>1125</v>
      </c>
      <c r="O65" s="6">
        <v>375</v>
      </c>
      <c r="P65" s="6">
        <v>375</v>
      </c>
      <c r="Q65" s="6">
        <v>375</v>
      </c>
      <c r="R65" s="6">
        <v>1125</v>
      </c>
      <c r="S65" s="6">
        <v>375</v>
      </c>
      <c r="T65" s="6">
        <v>375</v>
      </c>
      <c r="U65" s="6">
        <v>375</v>
      </c>
      <c r="V65" s="6">
        <v>1125</v>
      </c>
      <c r="W65" s="6">
        <v>375</v>
      </c>
      <c r="X65" s="6">
        <v>375</v>
      </c>
      <c r="Y65" s="6">
        <v>375</v>
      </c>
      <c r="Z65" s="6">
        <v>1125</v>
      </c>
      <c r="AA65" s="4">
        <v>1125</v>
      </c>
      <c r="AB65" s="25">
        <v>1875</v>
      </c>
      <c r="AC65" s="25">
        <v>1825</v>
      </c>
      <c r="AD65" s="25">
        <v>1875</v>
      </c>
      <c r="AE65">
        <v>10125</v>
      </c>
      <c r="AF65" t="s">
        <v>198</v>
      </c>
      <c r="AG65" t="s">
        <v>198</v>
      </c>
      <c r="AH65" s="33">
        <v>0.58734155423713663</v>
      </c>
      <c r="AI65" s="12">
        <v>1.5523932729624839E-2</v>
      </c>
      <c r="AJ65">
        <v>0</v>
      </c>
      <c r="AK65">
        <v>0</v>
      </c>
    </row>
    <row r="66" spans="1:37" ht="15.75" x14ac:dyDescent="0.25">
      <c r="A66" s="4">
        <v>65</v>
      </c>
      <c r="B66" s="5" t="s">
        <v>236</v>
      </c>
      <c r="C66" s="5" t="s">
        <v>5</v>
      </c>
      <c r="D66" s="5" t="s">
        <v>10</v>
      </c>
      <c r="E66" s="30">
        <v>7982</v>
      </c>
      <c r="F66" s="4" t="s">
        <v>241</v>
      </c>
      <c r="G66" s="6">
        <v>325</v>
      </c>
      <c r="H66" s="6">
        <v>325</v>
      </c>
      <c r="I66" s="6">
        <v>325</v>
      </c>
      <c r="J66" s="6">
        <v>975</v>
      </c>
      <c r="K66" s="6">
        <v>325</v>
      </c>
      <c r="L66" s="6">
        <v>325</v>
      </c>
      <c r="M66" s="6">
        <v>325</v>
      </c>
      <c r="N66" s="6">
        <v>975</v>
      </c>
      <c r="O66" s="6">
        <v>325</v>
      </c>
      <c r="P66" s="6">
        <v>325</v>
      </c>
      <c r="Q66" s="6">
        <v>325</v>
      </c>
      <c r="R66" s="6">
        <v>975</v>
      </c>
      <c r="S66" s="6">
        <v>325</v>
      </c>
      <c r="T66" s="6">
        <v>325</v>
      </c>
      <c r="U66" s="6">
        <v>325</v>
      </c>
      <c r="V66" s="6">
        <v>975</v>
      </c>
      <c r="W66" s="6">
        <v>325</v>
      </c>
      <c r="X66" s="6">
        <v>325</v>
      </c>
      <c r="Y66" s="6">
        <v>325</v>
      </c>
      <c r="Z66" s="6">
        <v>975</v>
      </c>
      <c r="AA66" s="4">
        <v>975</v>
      </c>
      <c r="AB66" s="25">
        <v>1625</v>
      </c>
      <c r="AC66" s="25">
        <v>1576</v>
      </c>
      <c r="AD66" s="25">
        <v>1625</v>
      </c>
      <c r="AE66">
        <v>8775</v>
      </c>
      <c r="AF66" t="s">
        <v>198</v>
      </c>
      <c r="AG66" t="s">
        <v>198</v>
      </c>
      <c r="AH66" s="33">
        <v>0.9712904915970948</v>
      </c>
      <c r="AI66" s="12">
        <v>2.2634305972184347E-2</v>
      </c>
      <c r="AJ66">
        <v>0</v>
      </c>
      <c r="AK66">
        <v>0</v>
      </c>
    </row>
    <row r="67" spans="1:37" ht="15.75" x14ac:dyDescent="0.25">
      <c r="A67" s="4">
        <v>66</v>
      </c>
      <c r="B67" s="5" t="s">
        <v>236</v>
      </c>
      <c r="C67" s="5" t="s">
        <v>5</v>
      </c>
      <c r="D67" s="5" t="s">
        <v>10</v>
      </c>
      <c r="E67" s="7">
        <v>34022</v>
      </c>
      <c r="F67" s="4" t="s">
        <v>241</v>
      </c>
      <c r="G67" s="6">
        <v>276</v>
      </c>
      <c r="H67" s="6">
        <v>276</v>
      </c>
      <c r="I67" s="6">
        <v>276</v>
      </c>
      <c r="J67" s="6">
        <v>828</v>
      </c>
      <c r="K67" s="6">
        <v>276</v>
      </c>
      <c r="L67" s="6">
        <v>276</v>
      </c>
      <c r="M67" s="6">
        <v>276</v>
      </c>
      <c r="N67" s="6">
        <v>828</v>
      </c>
      <c r="O67" s="6">
        <v>276</v>
      </c>
      <c r="P67" s="6">
        <v>276</v>
      </c>
      <c r="Q67" s="6">
        <v>276</v>
      </c>
      <c r="R67" s="6">
        <v>828</v>
      </c>
      <c r="S67" s="6">
        <v>276</v>
      </c>
      <c r="T67" s="6">
        <v>276</v>
      </c>
      <c r="U67" s="6">
        <v>276</v>
      </c>
      <c r="V67" s="6">
        <v>828</v>
      </c>
      <c r="W67" s="6">
        <v>276</v>
      </c>
      <c r="X67" s="6">
        <v>276</v>
      </c>
      <c r="Y67" s="6">
        <v>276</v>
      </c>
      <c r="Z67" s="6">
        <v>828</v>
      </c>
      <c r="AA67" s="4">
        <v>828</v>
      </c>
      <c r="AB67" s="25">
        <v>1380</v>
      </c>
      <c r="AC67" s="25">
        <v>1561</v>
      </c>
      <c r="AD67" s="25">
        <v>1380</v>
      </c>
      <c r="AE67">
        <v>7452</v>
      </c>
      <c r="AF67" t="s">
        <v>198</v>
      </c>
      <c r="AG67" t="s">
        <v>198</v>
      </c>
      <c r="AH67" s="33">
        <v>4.4980260265170879E-2</v>
      </c>
      <c r="AI67" s="12" t="e">
        <v>#N/A</v>
      </c>
      <c r="AJ67">
        <v>0</v>
      </c>
      <c r="AK67">
        <v>0</v>
      </c>
    </row>
    <row r="68" spans="1:37" ht="15.75" x14ac:dyDescent="0.25">
      <c r="A68" s="4">
        <v>67</v>
      </c>
      <c r="B68" s="5" t="s">
        <v>236</v>
      </c>
      <c r="C68" s="5" t="s">
        <v>5</v>
      </c>
      <c r="D68" s="5" t="s">
        <v>11</v>
      </c>
      <c r="E68" s="7">
        <v>15902</v>
      </c>
      <c r="F68" s="4" t="s">
        <v>240</v>
      </c>
      <c r="G68" s="6">
        <v>457</v>
      </c>
      <c r="H68" s="6">
        <v>457</v>
      </c>
      <c r="I68" s="6">
        <v>457</v>
      </c>
      <c r="J68" s="6">
        <v>1371</v>
      </c>
      <c r="K68" s="6">
        <v>457</v>
      </c>
      <c r="L68" s="6">
        <v>457</v>
      </c>
      <c r="M68" s="6">
        <v>457</v>
      </c>
      <c r="N68" s="6">
        <v>1371</v>
      </c>
      <c r="O68" s="6">
        <v>457</v>
      </c>
      <c r="P68" s="6">
        <v>457</v>
      </c>
      <c r="Q68" s="6">
        <v>457</v>
      </c>
      <c r="R68" s="6">
        <v>1371</v>
      </c>
      <c r="S68" s="6">
        <v>457</v>
      </c>
      <c r="T68" s="6">
        <v>457</v>
      </c>
      <c r="U68" s="6">
        <v>457</v>
      </c>
      <c r="V68" s="6">
        <v>1371</v>
      </c>
      <c r="W68" s="6">
        <v>457</v>
      </c>
      <c r="X68" s="6">
        <v>457</v>
      </c>
      <c r="Y68" s="6">
        <v>457</v>
      </c>
      <c r="Z68" s="6">
        <v>1371</v>
      </c>
      <c r="AA68" s="4">
        <v>1371</v>
      </c>
      <c r="AB68" s="25">
        <v>2285</v>
      </c>
      <c r="AC68" s="25">
        <v>2008</v>
      </c>
      <c r="AD68" s="25">
        <v>2285</v>
      </c>
      <c r="AE68">
        <v>12339</v>
      </c>
      <c r="AF68" t="s">
        <v>198</v>
      </c>
      <c r="AG68" t="s">
        <v>198</v>
      </c>
      <c r="AH68" s="33">
        <v>0.98930528054715416</v>
      </c>
      <c r="AI68" s="12" t="e">
        <v>#N/A</v>
      </c>
      <c r="AJ68">
        <v>0</v>
      </c>
      <c r="AK68">
        <v>0</v>
      </c>
    </row>
    <row r="69" spans="1:37" ht="15.75" x14ac:dyDescent="0.25">
      <c r="A69" s="4">
        <v>68</v>
      </c>
      <c r="B69" s="5" t="s">
        <v>236</v>
      </c>
      <c r="C69" s="5" t="s">
        <v>5</v>
      </c>
      <c r="D69" s="5" t="s">
        <v>12</v>
      </c>
      <c r="E69" s="7">
        <v>8121</v>
      </c>
      <c r="F69" s="4" t="s">
        <v>241</v>
      </c>
      <c r="G69" s="6">
        <v>180</v>
      </c>
      <c r="H69" s="6">
        <v>180</v>
      </c>
      <c r="I69" s="6">
        <v>180</v>
      </c>
      <c r="J69" s="6">
        <v>540</v>
      </c>
      <c r="K69" s="6">
        <v>180</v>
      </c>
      <c r="L69" s="6">
        <v>180</v>
      </c>
      <c r="M69" s="6">
        <v>180</v>
      </c>
      <c r="N69" s="6">
        <v>540</v>
      </c>
      <c r="O69" s="6">
        <v>180</v>
      </c>
      <c r="P69" s="6">
        <v>180</v>
      </c>
      <c r="Q69" s="6">
        <v>180</v>
      </c>
      <c r="R69" s="6">
        <v>540</v>
      </c>
      <c r="S69" s="6">
        <v>180</v>
      </c>
      <c r="T69" s="6">
        <v>180</v>
      </c>
      <c r="U69" s="6">
        <v>180</v>
      </c>
      <c r="V69" s="6">
        <v>540</v>
      </c>
      <c r="W69" s="6">
        <v>180</v>
      </c>
      <c r="X69" s="6">
        <v>180</v>
      </c>
      <c r="Y69" s="6">
        <v>180</v>
      </c>
      <c r="Z69" s="6">
        <v>540</v>
      </c>
      <c r="AA69" s="4">
        <v>540</v>
      </c>
      <c r="AB69" s="25">
        <v>900</v>
      </c>
      <c r="AC69" s="25">
        <v>931</v>
      </c>
      <c r="AD69" s="25">
        <v>900</v>
      </c>
      <c r="AE69">
        <v>4860</v>
      </c>
      <c r="AF69" t="s">
        <v>198</v>
      </c>
      <c r="AG69" t="s">
        <v>198</v>
      </c>
      <c r="AH69" s="33">
        <v>0.18380781020104664</v>
      </c>
      <c r="AI69" s="12">
        <v>2.6345083487940631E-2</v>
      </c>
      <c r="AJ69">
        <v>0</v>
      </c>
      <c r="AK69">
        <v>0</v>
      </c>
    </row>
    <row r="70" spans="1:37" ht="15.75" x14ac:dyDescent="0.25">
      <c r="A70" s="4">
        <v>69</v>
      </c>
      <c r="B70" s="5" t="s">
        <v>236</v>
      </c>
      <c r="C70" s="5" t="s">
        <v>5</v>
      </c>
      <c r="D70" s="5" t="s">
        <v>11</v>
      </c>
      <c r="E70" s="7">
        <v>7995</v>
      </c>
      <c r="F70" s="4" t="s">
        <v>241</v>
      </c>
      <c r="G70" s="6">
        <v>211</v>
      </c>
      <c r="H70" s="6">
        <v>211</v>
      </c>
      <c r="I70" s="6">
        <v>211</v>
      </c>
      <c r="J70" s="6">
        <v>633</v>
      </c>
      <c r="K70" s="6">
        <v>211</v>
      </c>
      <c r="L70" s="6">
        <v>211</v>
      </c>
      <c r="M70" s="6">
        <v>211</v>
      </c>
      <c r="N70" s="6">
        <v>633</v>
      </c>
      <c r="O70" s="6">
        <v>211</v>
      </c>
      <c r="P70" s="6">
        <v>211</v>
      </c>
      <c r="Q70" s="6">
        <v>211</v>
      </c>
      <c r="R70" s="6">
        <v>633</v>
      </c>
      <c r="S70" s="6">
        <v>211</v>
      </c>
      <c r="T70" s="6">
        <v>211</v>
      </c>
      <c r="U70" s="6">
        <v>211</v>
      </c>
      <c r="V70" s="6">
        <v>633</v>
      </c>
      <c r="W70" s="6">
        <v>211</v>
      </c>
      <c r="X70" s="6">
        <v>211</v>
      </c>
      <c r="Y70" s="6">
        <v>211</v>
      </c>
      <c r="Z70" s="6">
        <v>633</v>
      </c>
      <c r="AA70" s="4">
        <v>633</v>
      </c>
      <c r="AB70" s="25">
        <v>1055</v>
      </c>
      <c r="AC70" s="25">
        <v>1523</v>
      </c>
      <c r="AD70" s="25">
        <v>1055</v>
      </c>
      <c r="AE70">
        <v>5697</v>
      </c>
      <c r="AF70" t="s">
        <v>198</v>
      </c>
      <c r="AG70" t="s">
        <v>198</v>
      </c>
      <c r="AH70" s="33">
        <v>0.70735968635409785</v>
      </c>
      <c r="AI70" s="12">
        <v>1.6763332861790919E-2</v>
      </c>
      <c r="AJ70">
        <v>0</v>
      </c>
      <c r="AK70">
        <v>0</v>
      </c>
    </row>
    <row r="71" spans="1:37" ht="15.75" x14ac:dyDescent="0.25">
      <c r="A71" s="4">
        <v>70</v>
      </c>
      <c r="B71" s="5" t="s">
        <v>239</v>
      </c>
      <c r="C71" s="5" t="s">
        <v>181</v>
      </c>
      <c r="D71" s="5" t="s">
        <v>182</v>
      </c>
      <c r="E71" s="30">
        <v>7984</v>
      </c>
      <c r="F71" s="4" t="s">
        <v>240</v>
      </c>
      <c r="G71" s="6">
        <v>680</v>
      </c>
      <c r="H71" s="6">
        <v>679</v>
      </c>
      <c r="I71" s="6">
        <v>679</v>
      </c>
      <c r="J71" s="6">
        <v>2038</v>
      </c>
      <c r="K71" s="6">
        <v>679</v>
      </c>
      <c r="L71" s="6">
        <v>679</v>
      </c>
      <c r="M71" s="6">
        <v>679</v>
      </c>
      <c r="N71" s="6">
        <v>2037</v>
      </c>
      <c r="O71" s="6">
        <v>679</v>
      </c>
      <c r="P71" s="6">
        <v>679</v>
      </c>
      <c r="Q71" s="6">
        <v>679</v>
      </c>
      <c r="R71" s="6">
        <v>2037</v>
      </c>
      <c r="S71" s="6">
        <v>679</v>
      </c>
      <c r="T71" s="6">
        <v>679</v>
      </c>
      <c r="U71" s="6">
        <v>679</v>
      </c>
      <c r="V71" s="6">
        <v>2037</v>
      </c>
      <c r="W71" s="6">
        <v>679</v>
      </c>
      <c r="X71" s="6">
        <v>679</v>
      </c>
      <c r="Y71" s="6">
        <v>679</v>
      </c>
      <c r="Z71" s="6">
        <v>2037</v>
      </c>
      <c r="AA71" s="4">
        <v>2038</v>
      </c>
      <c r="AB71" s="25">
        <v>3395</v>
      </c>
      <c r="AC71" s="25">
        <v>3167</v>
      </c>
      <c r="AD71" s="25">
        <v>3395</v>
      </c>
      <c r="AE71">
        <v>18335</v>
      </c>
      <c r="AF71" t="s">
        <v>198</v>
      </c>
      <c r="AG71" t="s">
        <v>198</v>
      </c>
      <c r="AH71" s="33">
        <v>0.30464884024207506</v>
      </c>
      <c r="AI71" s="12">
        <v>0</v>
      </c>
      <c r="AJ71">
        <v>2</v>
      </c>
      <c r="AK71">
        <v>0</v>
      </c>
    </row>
    <row r="72" spans="1:37" ht="15.75" x14ac:dyDescent="0.25">
      <c r="A72" s="4">
        <v>71</v>
      </c>
      <c r="B72" s="5" t="s">
        <v>239</v>
      </c>
      <c r="C72" s="5" t="s">
        <v>181</v>
      </c>
      <c r="D72" s="5" t="s">
        <v>183</v>
      </c>
      <c r="E72" s="30">
        <v>34045</v>
      </c>
      <c r="F72" s="4" t="s">
        <v>240</v>
      </c>
      <c r="G72" s="6">
        <v>451</v>
      </c>
      <c r="H72" s="6">
        <v>451</v>
      </c>
      <c r="I72" s="6">
        <v>451</v>
      </c>
      <c r="J72" s="6">
        <v>1353</v>
      </c>
      <c r="K72" s="6">
        <v>451</v>
      </c>
      <c r="L72" s="6">
        <v>451</v>
      </c>
      <c r="M72" s="6">
        <v>451</v>
      </c>
      <c r="N72" s="6">
        <v>1353</v>
      </c>
      <c r="O72" s="6">
        <v>451</v>
      </c>
      <c r="P72" s="6">
        <v>451</v>
      </c>
      <c r="Q72" s="6">
        <v>451</v>
      </c>
      <c r="R72" s="6">
        <v>1353</v>
      </c>
      <c r="S72" s="6">
        <v>451</v>
      </c>
      <c r="T72" s="6">
        <v>451</v>
      </c>
      <c r="U72" s="6">
        <v>451</v>
      </c>
      <c r="V72" s="6">
        <v>1353</v>
      </c>
      <c r="W72" s="6">
        <v>451</v>
      </c>
      <c r="X72" s="6">
        <v>451</v>
      </c>
      <c r="Y72" s="6">
        <v>451</v>
      </c>
      <c r="Z72" s="6">
        <v>1353</v>
      </c>
      <c r="AA72" s="4">
        <v>1353</v>
      </c>
      <c r="AB72" s="25">
        <v>2255</v>
      </c>
      <c r="AC72" s="25">
        <v>2708</v>
      </c>
      <c r="AD72" s="25">
        <v>2255</v>
      </c>
      <c r="AE72">
        <v>12177</v>
      </c>
      <c r="AF72" t="s">
        <v>198</v>
      </c>
      <c r="AG72" t="s">
        <v>198</v>
      </c>
      <c r="AH72" s="33">
        <v>0.21245350060885071</v>
      </c>
      <c r="AI72" s="12">
        <v>0</v>
      </c>
      <c r="AJ72">
        <v>0</v>
      </c>
      <c r="AK72">
        <v>0</v>
      </c>
    </row>
    <row r="73" spans="1:37" ht="15.75" x14ac:dyDescent="0.25">
      <c r="A73" s="4">
        <v>72</v>
      </c>
      <c r="B73" s="5" t="s">
        <v>239</v>
      </c>
      <c r="C73" s="5" t="s">
        <v>181</v>
      </c>
      <c r="D73" s="5" t="s">
        <v>184</v>
      </c>
      <c r="E73" s="30">
        <v>4874</v>
      </c>
      <c r="F73" s="4" t="s">
        <v>240</v>
      </c>
      <c r="G73" s="6">
        <v>904</v>
      </c>
      <c r="H73" s="6">
        <v>904</v>
      </c>
      <c r="I73" s="6">
        <v>904</v>
      </c>
      <c r="J73" s="6">
        <v>2712</v>
      </c>
      <c r="K73" s="6">
        <v>904</v>
      </c>
      <c r="L73" s="6">
        <v>904</v>
      </c>
      <c r="M73" s="6">
        <v>904</v>
      </c>
      <c r="N73" s="6">
        <v>2712</v>
      </c>
      <c r="O73" s="6">
        <v>904</v>
      </c>
      <c r="P73" s="6">
        <v>904</v>
      </c>
      <c r="Q73" s="6">
        <v>904</v>
      </c>
      <c r="R73" s="6">
        <v>2712</v>
      </c>
      <c r="S73" s="6">
        <v>904</v>
      </c>
      <c r="T73" s="6">
        <v>904</v>
      </c>
      <c r="U73" s="6">
        <v>904</v>
      </c>
      <c r="V73" s="6">
        <v>2712</v>
      </c>
      <c r="W73" s="6">
        <v>903</v>
      </c>
      <c r="X73" s="6">
        <v>904</v>
      </c>
      <c r="Y73" s="6">
        <v>904</v>
      </c>
      <c r="Z73" s="6">
        <v>2711</v>
      </c>
      <c r="AA73" s="4">
        <v>2712</v>
      </c>
      <c r="AB73" s="25">
        <v>4519</v>
      </c>
      <c r="AC73" s="25">
        <v>4321</v>
      </c>
      <c r="AD73" s="25">
        <v>4520</v>
      </c>
      <c r="AE73">
        <v>24407</v>
      </c>
      <c r="AF73" t="s">
        <v>198</v>
      </c>
      <c r="AG73" t="s">
        <v>198</v>
      </c>
      <c r="AH73" s="33">
        <v>0.28526030130805979</v>
      </c>
      <c r="AI73" s="12">
        <v>0</v>
      </c>
      <c r="AJ73">
        <v>0</v>
      </c>
      <c r="AK73">
        <v>0</v>
      </c>
    </row>
    <row r="74" spans="1:37" ht="15.75" x14ac:dyDescent="0.25">
      <c r="A74" s="4">
        <v>73</v>
      </c>
      <c r="B74" s="5" t="s">
        <v>237</v>
      </c>
      <c r="C74" s="5" t="s">
        <v>55</v>
      </c>
      <c r="D74" s="5" t="s">
        <v>56</v>
      </c>
      <c r="E74" s="30">
        <v>8046</v>
      </c>
      <c r="F74" s="4" t="s">
        <v>242</v>
      </c>
      <c r="G74" s="6">
        <v>705</v>
      </c>
      <c r="H74" s="6">
        <v>705</v>
      </c>
      <c r="I74" s="6">
        <v>705</v>
      </c>
      <c r="J74" s="6">
        <v>2115</v>
      </c>
      <c r="K74" s="6">
        <v>705</v>
      </c>
      <c r="L74" s="6">
        <v>705</v>
      </c>
      <c r="M74" s="6">
        <v>705</v>
      </c>
      <c r="N74" s="6">
        <v>2115</v>
      </c>
      <c r="O74" s="6">
        <v>705</v>
      </c>
      <c r="P74" s="6">
        <v>705</v>
      </c>
      <c r="Q74" s="6">
        <v>705</v>
      </c>
      <c r="R74" s="6">
        <v>2115</v>
      </c>
      <c r="S74" s="6">
        <v>705</v>
      </c>
      <c r="T74" s="6">
        <v>705</v>
      </c>
      <c r="U74" s="6">
        <v>705</v>
      </c>
      <c r="V74" s="6">
        <v>2115</v>
      </c>
      <c r="W74" s="6">
        <v>705</v>
      </c>
      <c r="X74" s="6">
        <v>705</v>
      </c>
      <c r="Y74" s="6">
        <v>705</v>
      </c>
      <c r="Z74" s="6">
        <v>2115</v>
      </c>
      <c r="AA74" s="4">
        <v>2115</v>
      </c>
      <c r="AB74" s="25">
        <v>3525</v>
      </c>
      <c r="AC74" s="25">
        <v>3671</v>
      </c>
      <c r="AD74" s="25">
        <v>3525</v>
      </c>
      <c r="AE74">
        <v>19035</v>
      </c>
      <c r="AF74" t="s">
        <v>198</v>
      </c>
      <c r="AG74" t="s">
        <v>198</v>
      </c>
      <c r="AH74" s="33">
        <v>0.77070153263591368</v>
      </c>
      <c r="AI74" s="12">
        <v>1.5538077882217532E-2</v>
      </c>
      <c r="AJ74">
        <v>0</v>
      </c>
      <c r="AK74">
        <v>0</v>
      </c>
    </row>
    <row r="75" spans="1:37" ht="15.75" x14ac:dyDescent="0.25">
      <c r="A75" s="4">
        <v>74</v>
      </c>
      <c r="B75" t="s">
        <v>237</v>
      </c>
      <c r="C75" s="5" t="s">
        <v>55</v>
      </c>
      <c r="D75" s="5" t="s">
        <v>56</v>
      </c>
      <c r="E75" s="30">
        <v>2837</v>
      </c>
      <c r="F75" s="4" t="s">
        <v>242</v>
      </c>
      <c r="G75" s="6">
        <v>851</v>
      </c>
      <c r="H75" s="6">
        <v>851</v>
      </c>
      <c r="I75" s="6">
        <v>851</v>
      </c>
      <c r="J75" s="6">
        <v>2553</v>
      </c>
      <c r="K75" s="6">
        <v>851</v>
      </c>
      <c r="L75" s="6">
        <v>851</v>
      </c>
      <c r="M75" s="6">
        <v>851</v>
      </c>
      <c r="N75" s="6">
        <v>2553</v>
      </c>
      <c r="O75" s="6">
        <v>851</v>
      </c>
      <c r="P75" s="6">
        <v>851</v>
      </c>
      <c r="Q75" s="6">
        <v>851</v>
      </c>
      <c r="R75" s="6">
        <v>2553</v>
      </c>
      <c r="S75" s="6">
        <v>851</v>
      </c>
      <c r="T75" s="6">
        <v>851</v>
      </c>
      <c r="U75" s="6">
        <v>851</v>
      </c>
      <c r="V75" s="6">
        <v>2553</v>
      </c>
      <c r="W75" s="6">
        <v>851</v>
      </c>
      <c r="X75" s="6">
        <v>851</v>
      </c>
      <c r="Y75" s="6">
        <v>851</v>
      </c>
      <c r="Z75" s="6">
        <v>2553</v>
      </c>
      <c r="AA75" s="4">
        <v>2553</v>
      </c>
      <c r="AB75" s="25">
        <v>4255</v>
      </c>
      <c r="AC75" s="25">
        <v>4834</v>
      </c>
      <c r="AD75" s="25">
        <v>4255</v>
      </c>
      <c r="AE75">
        <v>22977</v>
      </c>
      <c r="AF75" t="s">
        <v>198</v>
      </c>
      <c r="AG75" t="s">
        <v>198</v>
      </c>
      <c r="AH75" s="33">
        <v>0.91208478231072221</v>
      </c>
      <c r="AI75" s="12">
        <v>3.8428693424423573E-2</v>
      </c>
      <c r="AJ75">
        <v>0</v>
      </c>
      <c r="AK75">
        <v>0</v>
      </c>
    </row>
    <row r="76" spans="1:37" ht="15.75" x14ac:dyDescent="0.25">
      <c r="A76" s="4">
        <v>75</v>
      </c>
      <c r="B76" t="s">
        <v>237</v>
      </c>
      <c r="C76" s="5" t="s">
        <v>55</v>
      </c>
      <c r="D76" s="5" t="s">
        <v>56</v>
      </c>
      <c r="E76" s="30">
        <v>9176</v>
      </c>
      <c r="F76" s="4" t="s">
        <v>241</v>
      </c>
      <c r="G76" s="6">
        <v>1430</v>
      </c>
      <c r="H76" s="6">
        <v>1430</v>
      </c>
      <c r="I76" s="6">
        <v>1430</v>
      </c>
      <c r="J76" s="6">
        <v>4290</v>
      </c>
      <c r="K76" s="6">
        <v>1430</v>
      </c>
      <c r="L76" s="6">
        <v>1430</v>
      </c>
      <c r="M76" s="6">
        <v>1430</v>
      </c>
      <c r="N76" s="6">
        <v>4290</v>
      </c>
      <c r="O76" s="6">
        <v>1430</v>
      </c>
      <c r="P76" s="6">
        <v>1430</v>
      </c>
      <c r="Q76" s="6">
        <v>1430</v>
      </c>
      <c r="R76" s="6">
        <v>4290</v>
      </c>
      <c r="S76" s="6">
        <v>1430</v>
      </c>
      <c r="T76" s="6">
        <v>1430</v>
      </c>
      <c r="U76" s="6">
        <v>1430</v>
      </c>
      <c r="V76" s="6">
        <v>4290</v>
      </c>
      <c r="W76" s="6">
        <v>1424</v>
      </c>
      <c r="X76" s="6">
        <v>1430</v>
      </c>
      <c r="Y76" s="6">
        <v>1430</v>
      </c>
      <c r="Z76" s="6">
        <v>4284</v>
      </c>
      <c r="AA76" s="4">
        <v>4290</v>
      </c>
      <c r="AB76" s="25">
        <v>7144</v>
      </c>
      <c r="AC76" s="25">
        <v>6628</v>
      </c>
      <c r="AD76" s="25">
        <v>7150</v>
      </c>
      <c r="AE76">
        <v>38604</v>
      </c>
      <c r="AF76" t="s">
        <v>198</v>
      </c>
      <c r="AG76" t="s">
        <v>198</v>
      </c>
      <c r="AH76" s="33">
        <v>0.94743211688012896</v>
      </c>
      <c r="AI76" s="12" t="e">
        <v>#N/A</v>
      </c>
      <c r="AJ76">
        <v>0</v>
      </c>
      <c r="AK76">
        <v>0</v>
      </c>
    </row>
    <row r="77" spans="1:37" ht="15.75" x14ac:dyDescent="0.25">
      <c r="A77" s="4">
        <v>76</v>
      </c>
      <c r="B77" t="s">
        <v>237</v>
      </c>
      <c r="C77" s="5" t="s">
        <v>55</v>
      </c>
      <c r="D77" s="5" t="s">
        <v>56</v>
      </c>
      <c r="E77" s="30">
        <v>8375</v>
      </c>
      <c r="F77" s="4" t="s">
        <v>242</v>
      </c>
      <c r="G77" s="6">
        <v>908</v>
      </c>
      <c r="H77" s="6">
        <v>908</v>
      </c>
      <c r="I77" s="6">
        <v>908</v>
      </c>
      <c r="J77" s="6">
        <v>2724</v>
      </c>
      <c r="K77" s="6">
        <v>908</v>
      </c>
      <c r="L77" s="6">
        <v>908</v>
      </c>
      <c r="M77" s="6">
        <v>908</v>
      </c>
      <c r="N77" s="6">
        <v>2724</v>
      </c>
      <c r="O77" s="6">
        <v>908</v>
      </c>
      <c r="P77" s="6">
        <v>908</v>
      </c>
      <c r="Q77" s="6">
        <v>908</v>
      </c>
      <c r="R77" s="6">
        <v>2724</v>
      </c>
      <c r="S77" s="6">
        <v>908</v>
      </c>
      <c r="T77" s="6">
        <v>908</v>
      </c>
      <c r="U77" s="6">
        <v>908</v>
      </c>
      <c r="V77" s="6">
        <v>2724</v>
      </c>
      <c r="W77" s="6">
        <v>908</v>
      </c>
      <c r="X77" s="6">
        <v>908</v>
      </c>
      <c r="Y77" s="6">
        <v>908</v>
      </c>
      <c r="Z77" s="6">
        <v>2724</v>
      </c>
      <c r="AA77" s="4">
        <v>2724</v>
      </c>
      <c r="AB77" s="25">
        <v>4540</v>
      </c>
      <c r="AC77" s="25">
        <v>3875</v>
      </c>
      <c r="AD77" s="25">
        <v>4540</v>
      </c>
      <c r="AE77">
        <v>24516</v>
      </c>
      <c r="AF77" t="s">
        <v>198</v>
      </c>
      <c r="AG77" t="s">
        <v>198</v>
      </c>
      <c r="AH77" s="33">
        <v>0.58227868310541253</v>
      </c>
      <c r="AI77" s="12" t="e">
        <v>#N/A</v>
      </c>
      <c r="AJ77">
        <v>0</v>
      </c>
      <c r="AK77">
        <v>0</v>
      </c>
    </row>
    <row r="78" spans="1:37" ht="15.75" x14ac:dyDescent="0.25">
      <c r="A78" s="4">
        <v>77</v>
      </c>
      <c r="B78" t="s">
        <v>237</v>
      </c>
      <c r="C78" s="5" t="s">
        <v>55</v>
      </c>
      <c r="D78" s="5" t="s">
        <v>56</v>
      </c>
      <c r="E78" s="30">
        <v>8000</v>
      </c>
      <c r="F78" s="4" t="s">
        <v>242</v>
      </c>
      <c r="G78" s="6">
        <v>243</v>
      </c>
      <c r="H78" s="6">
        <v>243</v>
      </c>
      <c r="I78" s="6">
        <v>243</v>
      </c>
      <c r="J78" s="6">
        <v>729</v>
      </c>
      <c r="K78" s="6">
        <v>243</v>
      </c>
      <c r="L78" s="6">
        <v>243</v>
      </c>
      <c r="M78" s="6">
        <v>243</v>
      </c>
      <c r="N78" s="6">
        <v>729</v>
      </c>
      <c r="O78" s="6">
        <v>243</v>
      </c>
      <c r="P78" s="6">
        <v>243</v>
      </c>
      <c r="Q78" s="6">
        <v>243</v>
      </c>
      <c r="R78" s="6">
        <v>729</v>
      </c>
      <c r="S78" s="6">
        <v>243</v>
      </c>
      <c r="T78" s="6">
        <v>243</v>
      </c>
      <c r="U78" s="6">
        <v>243</v>
      </c>
      <c r="V78" s="6">
        <v>729</v>
      </c>
      <c r="W78" s="6">
        <v>243</v>
      </c>
      <c r="X78" s="6">
        <v>243</v>
      </c>
      <c r="Y78" s="6">
        <v>243</v>
      </c>
      <c r="Z78" s="6">
        <v>729</v>
      </c>
      <c r="AA78" s="4">
        <v>729</v>
      </c>
      <c r="AB78" s="25">
        <v>1215</v>
      </c>
      <c r="AC78" s="25">
        <v>1110</v>
      </c>
      <c r="AD78" s="25">
        <v>1215</v>
      </c>
      <c r="AE78">
        <v>6561</v>
      </c>
      <c r="AF78" t="s">
        <v>198</v>
      </c>
      <c r="AG78" t="s">
        <v>198</v>
      </c>
      <c r="AH78" s="33">
        <v>0.4316615221363006</v>
      </c>
      <c r="AI78" s="12" t="e">
        <v>#N/A</v>
      </c>
      <c r="AJ78">
        <v>2</v>
      </c>
      <c r="AK78">
        <v>0</v>
      </c>
    </row>
    <row r="79" spans="1:37" ht="15.75" x14ac:dyDescent="0.25">
      <c r="A79" s="4">
        <v>78</v>
      </c>
      <c r="B79" t="s">
        <v>239</v>
      </c>
      <c r="C79" s="5" t="s">
        <v>155</v>
      </c>
      <c r="D79" s="5" t="s">
        <v>156</v>
      </c>
      <c r="E79" s="30">
        <v>8109</v>
      </c>
      <c r="F79" s="4" t="s">
        <v>242</v>
      </c>
      <c r="G79" s="6">
        <v>138</v>
      </c>
      <c r="H79" s="6">
        <v>138</v>
      </c>
      <c r="I79" s="6">
        <v>138</v>
      </c>
      <c r="J79" s="6">
        <v>414</v>
      </c>
      <c r="K79" s="6">
        <v>138</v>
      </c>
      <c r="L79" s="6">
        <v>138</v>
      </c>
      <c r="M79" s="6">
        <v>138</v>
      </c>
      <c r="N79" s="6">
        <v>414</v>
      </c>
      <c r="O79" s="6">
        <v>138</v>
      </c>
      <c r="P79" s="6">
        <v>138</v>
      </c>
      <c r="Q79" s="6">
        <v>138</v>
      </c>
      <c r="R79" s="6">
        <v>414</v>
      </c>
      <c r="S79" s="6">
        <v>138</v>
      </c>
      <c r="T79" s="6">
        <v>138</v>
      </c>
      <c r="U79" s="6">
        <v>138</v>
      </c>
      <c r="V79" s="6">
        <v>414</v>
      </c>
      <c r="W79" s="6">
        <v>138</v>
      </c>
      <c r="X79" s="6">
        <v>138</v>
      </c>
      <c r="Y79" s="6">
        <v>138</v>
      </c>
      <c r="Z79" s="6">
        <v>414</v>
      </c>
      <c r="AA79" s="4">
        <v>414</v>
      </c>
      <c r="AB79" s="25">
        <v>690</v>
      </c>
      <c r="AC79" s="25">
        <v>1381</v>
      </c>
      <c r="AD79" s="25">
        <v>690</v>
      </c>
      <c r="AE79">
        <v>3726</v>
      </c>
      <c r="AF79" t="s">
        <v>198</v>
      </c>
      <c r="AG79" t="s">
        <v>199</v>
      </c>
      <c r="AH79" s="33">
        <v>0.17915203844020278</v>
      </c>
      <c r="AI79" s="12" t="e">
        <v>#N/A</v>
      </c>
      <c r="AJ79">
        <v>0</v>
      </c>
      <c r="AK79">
        <v>0</v>
      </c>
    </row>
    <row r="80" spans="1:37" ht="15.75" x14ac:dyDescent="0.25">
      <c r="A80" s="4">
        <v>79</v>
      </c>
      <c r="B80" t="s">
        <v>239</v>
      </c>
      <c r="C80" s="5" t="s">
        <v>157</v>
      </c>
      <c r="D80" s="5" t="s">
        <v>158</v>
      </c>
      <c r="E80" s="30">
        <v>8202</v>
      </c>
      <c r="F80" s="4" t="s">
        <v>240</v>
      </c>
      <c r="G80" s="6">
        <v>829</v>
      </c>
      <c r="H80" s="6">
        <v>829</v>
      </c>
      <c r="I80" s="6">
        <v>829</v>
      </c>
      <c r="J80" s="6">
        <v>2487</v>
      </c>
      <c r="K80" s="6">
        <v>829</v>
      </c>
      <c r="L80" s="6">
        <v>829</v>
      </c>
      <c r="M80" s="6">
        <v>829</v>
      </c>
      <c r="N80" s="6">
        <v>2487</v>
      </c>
      <c r="O80" s="6">
        <v>829</v>
      </c>
      <c r="P80" s="6">
        <v>829</v>
      </c>
      <c r="Q80" s="6">
        <v>829</v>
      </c>
      <c r="R80" s="6">
        <v>2487</v>
      </c>
      <c r="S80" s="6">
        <v>829</v>
      </c>
      <c r="T80" s="6">
        <v>829</v>
      </c>
      <c r="U80" s="6">
        <v>829</v>
      </c>
      <c r="V80" s="6">
        <v>2487</v>
      </c>
      <c r="W80" s="6">
        <v>829</v>
      </c>
      <c r="X80" s="6">
        <v>829</v>
      </c>
      <c r="Y80" s="6">
        <v>829</v>
      </c>
      <c r="Z80" s="6">
        <v>2487</v>
      </c>
      <c r="AA80" s="4">
        <v>2487</v>
      </c>
      <c r="AB80" s="25">
        <v>4145</v>
      </c>
      <c r="AC80" s="25">
        <v>3539</v>
      </c>
      <c r="AD80" s="25">
        <v>4145</v>
      </c>
      <c r="AE80">
        <v>22383</v>
      </c>
      <c r="AF80" t="s">
        <v>198</v>
      </c>
      <c r="AG80" t="s">
        <v>198</v>
      </c>
      <c r="AH80" s="33">
        <v>0.34248353523204533</v>
      </c>
      <c r="AI80" s="12" t="e">
        <v>#N/A</v>
      </c>
      <c r="AJ80">
        <v>0</v>
      </c>
      <c r="AK80">
        <v>0</v>
      </c>
    </row>
    <row r="81" spans="1:37" ht="15.75" x14ac:dyDescent="0.25">
      <c r="A81" s="4">
        <v>80</v>
      </c>
      <c r="B81" t="s">
        <v>239</v>
      </c>
      <c r="C81" s="5" t="s">
        <v>157</v>
      </c>
      <c r="D81" s="5" t="s">
        <v>158</v>
      </c>
      <c r="E81" s="7">
        <v>7991</v>
      </c>
      <c r="F81" s="4" t="s">
        <v>240</v>
      </c>
      <c r="G81" s="6">
        <v>223</v>
      </c>
      <c r="H81" s="6">
        <v>223</v>
      </c>
      <c r="I81" s="6">
        <v>223</v>
      </c>
      <c r="J81" s="6">
        <v>669</v>
      </c>
      <c r="K81" s="6">
        <v>223</v>
      </c>
      <c r="L81" s="6">
        <v>223</v>
      </c>
      <c r="M81" s="6">
        <v>223</v>
      </c>
      <c r="N81" s="6">
        <v>669</v>
      </c>
      <c r="O81" s="6">
        <v>223</v>
      </c>
      <c r="P81" s="6">
        <v>223</v>
      </c>
      <c r="Q81" s="6">
        <v>223</v>
      </c>
      <c r="R81" s="6">
        <v>669</v>
      </c>
      <c r="S81" s="6">
        <v>223</v>
      </c>
      <c r="T81" s="6">
        <v>223</v>
      </c>
      <c r="U81" s="6">
        <v>223</v>
      </c>
      <c r="V81" s="6">
        <v>669</v>
      </c>
      <c r="W81" s="6">
        <v>223</v>
      </c>
      <c r="X81" s="6">
        <v>223</v>
      </c>
      <c r="Y81" s="6">
        <v>223</v>
      </c>
      <c r="Z81" s="6">
        <v>669</v>
      </c>
      <c r="AA81" s="4">
        <v>669</v>
      </c>
      <c r="AB81" s="25">
        <v>1115</v>
      </c>
      <c r="AC81" s="25">
        <v>1335</v>
      </c>
      <c r="AD81" s="25">
        <v>1115</v>
      </c>
      <c r="AE81">
        <v>6021</v>
      </c>
      <c r="AF81" t="s">
        <v>198</v>
      </c>
      <c r="AG81" t="s">
        <v>198</v>
      </c>
      <c r="AH81" s="33">
        <v>0.51266669498714779</v>
      </c>
      <c r="AI81" s="12" t="e">
        <v>#N/A</v>
      </c>
      <c r="AJ81">
        <v>0</v>
      </c>
      <c r="AK81">
        <v>0</v>
      </c>
    </row>
    <row r="82" spans="1:37" ht="15.75" x14ac:dyDescent="0.25">
      <c r="A82" s="4">
        <v>81</v>
      </c>
      <c r="B82" t="s">
        <v>239</v>
      </c>
      <c r="C82" s="5" t="s">
        <v>157</v>
      </c>
      <c r="D82" s="5" t="s">
        <v>158</v>
      </c>
      <c r="E82" s="7">
        <v>33420</v>
      </c>
      <c r="F82" s="4" t="s">
        <v>240</v>
      </c>
      <c r="G82" s="6">
        <v>443</v>
      </c>
      <c r="H82" s="6">
        <v>443</v>
      </c>
      <c r="I82" s="6">
        <v>443</v>
      </c>
      <c r="J82" s="6">
        <v>1329</v>
      </c>
      <c r="K82" s="6">
        <v>443</v>
      </c>
      <c r="L82" s="6">
        <v>443</v>
      </c>
      <c r="M82" s="6">
        <v>443</v>
      </c>
      <c r="N82" s="6">
        <v>1329</v>
      </c>
      <c r="O82" s="6">
        <v>443</v>
      </c>
      <c r="P82" s="6">
        <v>443</v>
      </c>
      <c r="Q82" s="6">
        <v>443</v>
      </c>
      <c r="R82" s="6">
        <v>1329</v>
      </c>
      <c r="S82" s="6">
        <v>443</v>
      </c>
      <c r="T82" s="6">
        <v>443</v>
      </c>
      <c r="U82" s="6">
        <v>443</v>
      </c>
      <c r="V82" s="6">
        <v>1329</v>
      </c>
      <c r="W82" s="6">
        <v>443</v>
      </c>
      <c r="X82" s="6">
        <v>443</v>
      </c>
      <c r="Y82" s="6">
        <v>443</v>
      </c>
      <c r="Z82" s="6">
        <v>1329</v>
      </c>
      <c r="AA82" s="4">
        <v>1329</v>
      </c>
      <c r="AB82" s="25">
        <v>2215</v>
      </c>
      <c r="AC82" s="25">
        <v>1995</v>
      </c>
      <c r="AD82" s="25">
        <v>2215</v>
      </c>
      <c r="AE82">
        <v>11961</v>
      </c>
      <c r="AF82" t="s">
        <v>198</v>
      </c>
      <c r="AG82" t="s">
        <v>198</v>
      </c>
      <c r="AH82" s="33">
        <v>0.83412986754127516</v>
      </c>
      <c r="AI82" s="12">
        <v>1.7766040453754278E-2</v>
      </c>
      <c r="AJ82">
        <v>0</v>
      </c>
      <c r="AK82">
        <v>0</v>
      </c>
    </row>
    <row r="83" spans="1:37" ht="15.75" x14ac:dyDescent="0.25">
      <c r="A83" s="4">
        <v>82</v>
      </c>
      <c r="B83" t="s">
        <v>239</v>
      </c>
      <c r="C83" s="5" t="s">
        <v>157</v>
      </c>
      <c r="D83" s="5" t="s">
        <v>158</v>
      </c>
      <c r="E83" s="30">
        <v>9041</v>
      </c>
      <c r="F83" s="4" t="s">
        <v>240</v>
      </c>
      <c r="G83" s="6">
        <v>223</v>
      </c>
      <c r="H83" s="6">
        <v>223</v>
      </c>
      <c r="I83" s="6">
        <v>223</v>
      </c>
      <c r="J83" s="6">
        <v>669</v>
      </c>
      <c r="K83" s="6">
        <v>223</v>
      </c>
      <c r="L83" s="6">
        <v>223</v>
      </c>
      <c r="M83" s="6">
        <v>223</v>
      </c>
      <c r="N83" s="6">
        <v>669</v>
      </c>
      <c r="O83" s="6">
        <v>223</v>
      </c>
      <c r="P83" s="6">
        <v>223</v>
      </c>
      <c r="Q83" s="6">
        <v>223</v>
      </c>
      <c r="R83" s="6">
        <v>669</v>
      </c>
      <c r="S83" s="6">
        <v>223</v>
      </c>
      <c r="T83" s="6">
        <v>223</v>
      </c>
      <c r="U83" s="6">
        <v>223</v>
      </c>
      <c r="V83" s="6">
        <v>669</v>
      </c>
      <c r="W83" s="6">
        <v>223</v>
      </c>
      <c r="X83" s="6">
        <v>223</v>
      </c>
      <c r="Y83" s="6">
        <v>223</v>
      </c>
      <c r="Z83" s="6">
        <v>669</v>
      </c>
      <c r="AA83" s="4">
        <v>669</v>
      </c>
      <c r="AB83" s="25">
        <v>1115</v>
      </c>
      <c r="AC83" s="25">
        <v>1074</v>
      </c>
      <c r="AD83" s="25">
        <v>1115</v>
      </c>
      <c r="AE83">
        <v>6021</v>
      </c>
      <c r="AF83" t="s">
        <v>198</v>
      </c>
      <c r="AG83" t="s">
        <v>198</v>
      </c>
      <c r="AH83" s="33">
        <v>0.44598410074626482</v>
      </c>
      <c r="AI83" s="12" t="e">
        <v>#N/A</v>
      </c>
      <c r="AJ83">
        <v>0</v>
      </c>
      <c r="AK83">
        <v>0</v>
      </c>
    </row>
    <row r="84" spans="1:37" ht="15.75" x14ac:dyDescent="0.25">
      <c r="A84" s="4">
        <v>83</v>
      </c>
      <c r="B84" t="s">
        <v>239</v>
      </c>
      <c r="C84" s="5" t="s">
        <v>157</v>
      </c>
      <c r="D84" s="5" t="s">
        <v>158</v>
      </c>
      <c r="E84" s="30">
        <v>8115</v>
      </c>
      <c r="F84" s="4" t="s">
        <v>241</v>
      </c>
      <c r="G84" s="6">
        <v>184</v>
      </c>
      <c r="H84" s="6">
        <v>182</v>
      </c>
      <c r="I84" s="6">
        <v>182</v>
      </c>
      <c r="J84" s="6">
        <v>548</v>
      </c>
      <c r="K84" s="6">
        <v>182</v>
      </c>
      <c r="L84" s="6">
        <v>182</v>
      </c>
      <c r="M84" s="6">
        <v>182</v>
      </c>
      <c r="N84" s="6">
        <v>546</v>
      </c>
      <c r="O84" s="6">
        <v>182</v>
      </c>
      <c r="P84" s="6">
        <v>182</v>
      </c>
      <c r="Q84" s="6">
        <v>182</v>
      </c>
      <c r="R84" s="6">
        <v>546</v>
      </c>
      <c r="S84" s="6">
        <v>182</v>
      </c>
      <c r="T84" s="6">
        <v>182</v>
      </c>
      <c r="U84" s="6">
        <v>182</v>
      </c>
      <c r="V84" s="6">
        <v>546</v>
      </c>
      <c r="W84" s="6">
        <v>182</v>
      </c>
      <c r="X84" s="6">
        <v>182</v>
      </c>
      <c r="Y84" s="6">
        <v>182</v>
      </c>
      <c r="Z84" s="6">
        <v>546</v>
      </c>
      <c r="AA84" s="4">
        <v>548</v>
      </c>
      <c r="AB84" s="25">
        <v>910</v>
      </c>
      <c r="AC84" s="25">
        <v>862</v>
      </c>
      <c r="AD84" s="25">
        <v>910</v>
      </c>
      <c r="AE84">
        <v>4918</v>
      </c>
      <c r="AF84" t="s">
        <v>199</v>
      </c>
      <c r="AG84" t="s">
        <v>199</v>
      </c>
      <c r="AH84" s="33">
        <v>0.49474572384065718</v>
      </c>
      <c r="AI84" s="12" t="e">
        <v>#N/A</v>
      </c>
      <c r="AJ84">
        <v>0</v>
      </c>
      <c r="AK84">
        <v>0</v>
      </c>
    </row>
    <row r="85" spans="1:37" ht="15.75" x14ac:dyDescent="0.25">
      <c r="A85" s="4">
        <v>84</v>
      </c>
      <c r="B85" t="s">
        <v>239</v>
      </c>
      <c r="C85" s="5" t="s">
        <v>157</v>
      </c>
      <c r="D85" s="5" t="s">
        <v>159</v>
      </c>
      <c r="E85" s="7">
        <v>8118</v>
      </c>
      <c r="F85" s="4" t="s">
        <v>241</v>
      </c>
      <c r="G85" s="6">
        <v>134</v>
      </c>
      <c r="H85" s="6">
        <v>134</v>
      </c>
      <c r="I85" s="6">
        <v>134</v>
      </c>
      <c r="J85" s="6">
        <v>402</v>
      </c>
      <c r="K85" s="6">
        <v>134</v>
      </c>
      <c r="L85" s="6">
        <v>134</v>
      </c>
      <c r="M85" s="6">
        <v>134</v>
      </c>
      <c r="N85" s="6">
        <v>402</v>
      </c>
      <c r="O85" s="6">
        <v>134</v>
      </c>
      <c r="P85" s="6">
        <v>134</v>
      </c>
      <c r="Q85" s="6">
        <v>134</v>
      </c>
      <c r="R85" s="6">
        <v>402</v>
      </c>
      <c r="S85" s="6">
        <v>133</v>
      </c>
      <c r="T85" s="6">
        <v>133</v>
      </c>
      <c r="U85" s="6">
        <v>133</v>
      </c>
      <c r="V85" s="6">
        <v>399</v>
      </c>
      <c r="W85" s="6">
        <v>133</v>
      </c>
      <c r="X85" s="6">
        <v>133</v>
      </c>
      <c r="Y85" s="6">
        <v>133</v>
      </c>
      <c r="Z85" s="6">
        <v>399</v>
      </c>
      <c r="AA85" s="4">
        <v>402</v>
      </c>
      <c r="AB85" s="25">
        <v>668</v>
      </c>
      <c r="AC85" s="25">
        <v>758</v>
      </c>
      <c r="AD85" s="25">
        <v>668</v>
      </c>
      <c r="AE85">
        <v>3609</v>
      </c>
      <c r="AF85" t="s">
        <v>198</v>
      </c>
      <c r="AG85" t="s">
        <v>198</v>
      </c>
      <c r="AH85" s="33">
        <v>0.98023706971634206</v>
      </c>
      <c r="AI85" s="12">
        <v>1.669776119402985E-2</v>
      </c>
      <c r="AJ85">
        <v>0</v>
      </c>
      <c r="AK85">
        <v>0</v>
      </c>
    </row>
    <row r="86" spans="1:37" ht="15.75" x14ac:dyDescent="0.25">
      <c r="A86" s="4">
        <v>85</v>
      </c>
      <c r="B86" t="s">
        <v>239</v>
      </c>
      <c r="C86" s="5" t="s">
        <v>157</v>
      </c>
      <c r="D86" s="5" t="s">
        <v>160</v>
      </c>
      <c r="E86" s="30">
        <v>15134</v>
      </c>
      <c r="F86" s="4" t="s">
        <v>240</v>
      </c>
      <c r="G86" s="6">
        <v>224</v>
      </c>
      <c r="H86" s="6">
        <v>224</v>
      </c>
      <c r="I86" s="6">
        <v>224</v>
      </c>
      <c r="J86" s="6">
        <v>672</v>
      </c>
      <c r="K86" s="6">
        <v>224</v>
      </c>
      <c r="L86" s="6">
        <v>224</v>
      </c>
      <c r="M86" s="6">
        <v>224</v>
      </c>
      <c r="N86" s="6">
        <v>672</v>
      </c>
      <c r="O86" s="6">
        <v>224</v>
      </c>
      <c r="P86" s="6">
        <v>224</v>
      </c>
      <c r="Q86" s="6">
        <v>224</v>
      </c>
      <c r="R86" s="6">
        <v>672</v>
      </c>
      <c r="S86" s="6">
        <v>224</v>
      </c>
      <c r="T86" s="6">
        <v>224</v>
      </c>
      <c r="U86" s="6">
        <v>224</v>
      </c>
      <c r="V86" s="6">
        <v>672</v>
      </c>
      <c r="W86" s="6">
        <v>223</v>
      </c>
      <c r="X86" s="6">
        <v>224</v>
      </c>
      <c r="Y86" s="6">
        <v>224</v>
      </c>
      <c r="Z86" s="6">
        <v>671</v>
      </c>
      <c r="AA86" s="4">
        <v>672</v>
      </c>
      <c r="AB86" s="25">
        <v>1119</v>
      </c>
      <c r="AC86" s="25">
        <v>1089</v>
      </c>
      <c r="AD86" s="25">
        <v>1120</v>
      </c>
      <c r="AE86">
        <v>6047</v>
      </c>
      <c r="AF86" t="s">
        <v>198</v>
      </c>
      <c r="AG86" t="s">
        <v>199</v>
      </c>
      <c r="AH86" s="33">
        <v>1.9299205132585207E-2</v>
      </c>
      <c r="AI86" s="12">
        <v>5.4802631578947367E-2</v>
      </c>
      <c r="AJ86">
        <v>0</v>
      </c>
      <c r="AK86">
        <v>0</v>
      </c>
    </row>
    <row r="87" spans="1:37" ht="15.75" x14ac:dyDescent="0.25">
      <c r="A87" s="4">
        <v>86</v>
      </c>
      <c r="B87" s="5" t="s">
        <v>239</v>
      </c>
      <c r="C87" s="5" t="s">
        <v>157</v>
      </c>
      <c r="D87" s="5" t="s">
        <v>161</v>
      </c>
      <c r="E87" s="7">
        <v>7932</v>
      </c>
      <c r="F87" s="4" t="s">
        <v>240</v>
      </c>
      <c r="G87" s="6">
        <v>193</v>
      </c>
      <c r="H87" s="6">
        <v>193</v>
      </c>
      <c r="I87" s="6">
        <v>193</v>
      </c>
      <c r="J87" s="6">
        <v>579</v>
      </c>
      <c r="K87" s="6">
        <v>193</v>
      </c>
      <c r="L87" s="6">
        <v>193</v>
      </c>
      <c r="M87" s="6">
        <v>193</v>
      </c>
      <c r="N87" s="6">
        <v>579</v>
      </c>
      <c r="O87" s="6">
        <v>193</v>
      </c>
      <c r="P87" s="6">
        <v>193</v>
      </c>
      <c r="Q87" s="6">
        <v>193</v>
      </c>
      <c r="R87" s="6">
        <v>579</v>
      </c>
      <c r="S87" s="6">
        <v>193</v>
      </c>
      <c r="T87" s="6">
        <v>193</v>
      </c>
      <c r="U87" s="6">
        <v>193</v>
      </c>
      <c r="V87" s="6">
        <v>579</v>
      </c>
      <c r="W87" s="6">
        <v>193</v>
      </c>
      <c r="X87" s="6">
        <v>193</v>
      </c>
      <c r="Y87" s="6">
        <v>193</v>
      </c>
      <c r="Z87" s="6">
        <v>579</v>
      </c>
      <c r="AA87" s="4">
        <v>579</v>
      </c>
      <c r="AB87" s="25">
        <v>965</v>
      </c>
      <c r="AC87" s="25">
        <v>965</v>
      </c>
      <c r="AD87" s="25">
        <v>965</v>
      </c>
      <c r="AE87">
        <v>5211</v>
      </c>
      <c r="AF87" t="s">
        <v>198</v>
      </c>
      <c r="AG87" t="s">
        <v>199</v>
      </c>
      <c r="AH87" s="33">
        <v>0.55625845022902765</v>
      </c>
      <c r="AI87" s="12">
        <v>0</v>
      </c>
      <c r="AJ87">
        <v>0</v>
      </c>
      <c r="AK87">
        <v>0</v>
      </c>
    </row>
    <row r="88" spans="1:37" ht="15.75" x14ac:dyDescent="0.25">
      <c r="A88" s="4">
        <v>87</v>
      </c>
      <c r="B88" s="5" t="s">
        <v>239</v>
      </c>
      <c r="C88" s="5" t="s">
        <v>157</v>
      </c>
      <c r="D88" s="5" t="s">
        <v>161</v>
      </c>
      <c r="E88" s="30">
        <v>15135</v>
      </c>
      <c r="F88" s="4" t="s">
        <v>240</v>
      </c>
      <c r="G88" s="6">
        <v>193</v>
      </c>
      <c r="H88" s="6">
        <v>193</v>
      </c>
      <c r="I88" s="6">
        <v>193</v>
      </c>
      <c r="J88" s="6">
        <v>579</v>
      </c>
      <c r="K88" s="6">
        <v>192</v>
      </c>
      <c r="L88" s="6">
        <v>192</v>
      </c>
      <c r="M88" s="6">
        <v>192</v>
      </c>
      <c r="N88" s="6">
        <v>576</v>
      </c>
      <c r="O88" s="6">
        <v>192</v>
      </c>
      <c r="P88" s="6">
        <v>192</v>
      </c>
      <c r="Q88" s="6">
        <v>192</v>
      </c>
      <c r="R88" s="6">
        <v>576</v>
      </c>
      <c r="S88" s="6">
        <v>192</v>
      </c>
      <c r="T88" s="6">
        <v>192</v>
      </c>
      <c r="U88" s="6">
        <v>192</v>
      </c>
      <c r="V88" s="6">
        <v>576</v>
      </c>
      <c r="W88" s="6">
        <v>192</v>
      </c>
      <c r="X88" s="6">
        <v>192</v>
      </c>
      <c r="Y88" s="6">
        <v>192</v>
      </c>
      <c r="Z88" s="6">
        <v>576</v>
      </c>
      <c r="AA88" s="4">
        <v>579</v>
      </c>
      <c r="AB88" s="25">
        <v>961</v>
      </c>
      <c r="AC88" s="25">
        <v>961</v>
      </c>
      <c r="AD88" s="25">
        <v>961</v>
      </c>
      <c r="AE88">
        <v>5190</v>
      </c>
      <c r="AF88" t="s">
        <v>198</v>
      </c>
      <c r="AG88" t="s">
        <v>199</v>
      </c>
      <c r="AH88" s="33">
        <v>5.2299748927773226E-3</v>
      </c>
      <c r="AI88" s="12">
        <v>0</v>
      </c>
      <c r="AJ88">
        <v>0</v>
      </c>
      <c r="AK88">
        <v>0</v>
      </c>
    </row>
    <row r="89" spans="1:37" ht="15.75" x14ac:dyDescent="0.25">
      <c r="A89" s="4">
        <v>88</v>
      </c>
      <c r="B89" s="5" t="s">
        <v>239</v>
      </c>
      <c r="C89" s="5" t="s">
        <v>157</v>
      </c>
      <c r="D89" s="5" t="s">
        <v>161</v>
      </c>
      <c r="E89" s="7">
        <v>1262</v>
      </c>
      <c r="F89" s="4" t="s">
        <v>240</v>
      </c>
      <c r="G89" s="6">
        <v>193</v>
      </c>
      <c r="H89" s="6">
        <v>193</v>
      </c>
      <c r="I89" s="6">
        <v>193</v>
      </c>
      <c r="J89" s="6">
        <v>579</v>
      </c>
      <c r="K89" s="6">
        <v>193</v>
      </c>
      <c r="L89" s="6">
        <v>193</v>
      </c>
      <c r="M89" s="6">
        <v>193</v>
      </c>
      <c r="N89" s="6">
        <v>579</v>
      </c>
      <c r="O89" s="6">
        <v>193</v>
      </c>
      <c r="P89" s="6">
        <v>193</v>
      </c>
      <c r="Q89" s="6">
        <v>193</v>
      </c>
      <c r="R89" s="6">
        <v>579</v>
      </c>
      <c r="S89" s="6">
        <v>193</v>
      </c>
      <c r="T89" s="6">
        <v>193</v>
      </c>
      <c r="U89" s="6">
        <v>193</v>
      </c>
      <c r="V89" s="6">
        <v>579</v>
      </c>
      <c r="W89" s="6">
        <v>190</v>
      </c>
      <c r="X89" s="6">
        <v>193</v>
      </c>
      <c r="Y89" s="6">
        <v>193</v>
      </c>
      <c r="Z89" s="6">
        <v>576</v>
      </c>
      <c r="AA89" s="4">
        <v>579</v>
      </c>
      <c r="AB89" s="25">
        <v>962</v>
      </c>
      <c r="AC89" s="25">
        <v>1397</v>
      </c>
      <c r="AD89" s="25">
        <v>965</v>
      </c>
      <c r="AE89">
        <v>5208</v>
      </c>
      <c r="AF89" t="s">
        <v>198</v>
      </c>
      <c r="AG89" t="s">
        <v>199</v>
      </c>
      <c r="AH89" s="33">
        <v>0.45669527070579119</v>
      </c>
      <c r="AI89" s="12">
        <v>3.6179835062516624E-2</v>
      </c>
      <c r="AJ89">
        <v>0</v>
      </c>
      <c r="AK89">
        <v>0</v>
      </c>
    </row>
    <row r="90" spans="1:37" ht="15.75" x14ac:dyDescent="0.25">
      <c r="A90" s="4">
        <v>89</v>
      </c>
      <c r="B90" s="5" t="s">
        <v>239</v>
      </c>
      <c r="C90" s="5" t="s">
        <v>157</v>
      </c>
      <c r="D90" s="5" t="s">
        <v>162</v>
      </c>
      <c r="E90" s="7">
        <v>1897</v>
      </c>
      <c r="F90" s="4" t="s">
        <v>240</v>
      </c>
      <c r="G90" s="6">
        <v>627</v>
      </c>
      <c r="H90" s="6">
        <v>625</v>
      </c>
      <c r="I90" s="6">
        <v>625</v>
      </c>
      <c r="J90" s="6">
        <v>1877</v>
      </c>
      <c r="K90" s="6">
        <v>625</v>
      </c>
      <c r="L90" s="6">
        <v>625</v>
      </c>
      <c r="M90" s="6">
        <v>625</v>
      </c>
      <c r="N90" s="6">
        <v>1875</v>
      </c>
      <c r="O90" s="6">
        <v>625</v>
      </c>
      <c r="P90" s="6">
        <v>625</v>
      </c>
      <c r="Q90" s="6">
        <v>625</v>
      </c>
      <c r="R90" s="6">
        <v>1875</v>
      </c>
      <c r="S90" s="6">
        <v>625</v>
      </c>
      <c r="T90" s="6">
        <v>625</v>
      </c>
      <c r="U90" s="6">
        <v>625</v>
      </c>
      <c r="V90" s="6">
        <v>1875</v>
      </c>
      <c r="W90" s="6">
        <v>625</v>
      </c>
      <c r="X90" s="6">
        <v>625</v>
      </c>
      <c r="Y90" s="6">
        <v>624</v>
      </c>
      <c r="Z90" s="6">
        <v>1874</v>
      </c>
      <c r="AA90" s="4">
        <v>1877</v>
      </c>
      <c r="AB90" s="25">
        <v>3125</v>
      </c>
      <c r="AC90" s="25">
        <v>2692</v>
      </c>
      <c r="AD90" s="25">
        <v>3124</v>
      </c>
      <c r="AE90">
        <v>16878</v>
      </c>
      <c r="AF90" t="s">
        <v>198</v>
      </c>
      <c r="AG90" t="s">
        <v>198</v>
      </c>
      <c r="AH90" s="33">
        <v>2.7871260284144772E-2</v>
      </c>
      <c r="AI90" s="12">
        <v>2.0004896303291015E-2</v>
      </c>
      <c r="AJ90">
        <v>0</v>
      </c>
      <c r="AK90">
        <v>0</v>
      </c>
    </row>
    <row r="91" spans="1:37" ht="15.75" x14ac:dyDescent="0.25">
      <c r="A91" s="4">
        <v>90</v>
      </c>
      <c r="B91" s="5" t="s">
        <v>239</v>
      </c>
      <c r="C91" s="5" t="s">
        <v>157</v>
      </c>
      <c r="D91" s="5" t="s">
        <v>163</v>
      </c>
      <c r="E91" s="7">
        <v>16678</v>
      </c>
      <c r="F91" s="4" t="s">
        <v>240</v>
      </c>
      <c r="G91" s="6">
        <v>192</v>
      </c>
      <c r="H91" s="6">
        <v>192</v>
      </c>
      <c r="I91" s="6">
        <v>192</v>
      </c>
      <c r="J91" s="6">
        <v>576</v>
      </c>
      <c r="K91" s="6">
        <v>192</v>
      </c>
      <c r="L91" s="6">
        <v>192</v>
      </c>
      <c r="M91" s="6">
        <v>192</v>
      </c>
      <c r="N91" s="6">
        <v>576</v>
      </c>
      <c r="O91" s="6">
        <v>192</v>
      </c>
      <c r="P91" s="6">
        <v>192</v>
      </c>
      <c r="Q91" s="6">
        <v>192</v>
      </c>
      <c r="R91" s="6">
        <v>576</v>
      </c>
      <c r="S91" s="6">
        <v>192</v>
      </c>
      <c r="T91" s="6">
        <v>192</v>
      </c>
      <c r="U91" s="6">
        <v>192</v>
      </c>
      <c r="V91" s="6">
        <v>576</v>
      </c>
      <c r="W91" s="6">
        <v>192</v>
      </c>
      <c r="X91" s="6">
        <v>192</v>
      </c>
      <c r="Y91" s="6">
        <v>192</v>
      </c>
      <c r="Z91" s="6">
        <v>576</v>
      </c>
      <c r="AA91" s="4">
        <v>576</v>
      </c>
      <c r="AB91" s="25">
        <v>960</v>
      </c>
      <c r="AC91" s="25">
        <v>1219</v>
      </c>
      <c r="AD91" s="25">
        <v>960</v>
      </c>
      <c r="AE91">
        <v>5184</v>
      </c>
      <c r="AF91" t="s">
        <v>198</v>
      </c>
      <c r="AG91" t="s">
        <v>198</v>
      </c>
      <c r="AH91" s="33">
        <v>0.60898967182498753</v>
      </c>
      <c r="AI91" s="12" t="e">
        <v>#N/A</v>
      </c>
      <c r="AJ91">
        <v>0</v>
      </c>
      <c r="AK91">
        <v>0</v>
      </c>
    </row>
    <row r="92" spans="1:37" ht="15.75" x14ac:dyDescent="0.25">
      <c r="A92" s="4">
        <v>91</v>
      </c>
      <c r="B92" s="5" t="s">
        <v>237</v>
      </c>
      <c r="C92" s="5" t="s">
        <v>57</v>
      </c>
      <c r="D92" s="5" t="s">
        <v>58</v>
      </c>
      <c r="E92" s="7">
        <v>8777</v>
      </c>
      <c r="F92" s="4" t="s">
        <v>240</v>
      </c>
      <c r="G92" s="6">
        <v>451</v>
      </c>
      <c r="H92" s="6">
        <v>451</v>
      </c>
      <c r="I92" s="6">
        <v>451</v>
      </c>
      <c r="J92" s="6">
        <v>1353</v>
      </c>
      <c r="K92" s="6">
        <v>451</v>
      </c>
      <c r="L92" s="6">
        <v>451</v>
      </c>
      <c r="M92" s="6">
        <v>451</v>
      </c>
      <c r="N92" s="6">
        <v>1353</v>
      </c>
      <c r="O92" s="6">
        <v>451</v>
      </c>
      <c r="P92" s="6">
        <v>451</v>
      </c>
      <c r="Q92" s="6">
        <v>451</v>
      </c>
      <c r="R92" s="6">
        <v>1353</v>
      </c>
      <c r="S92" s="6">
        <v>451</v>
      </c>
      <c r="T92" s="6">
        <v>451</v>
      </c>
      <c r="U92" s="6">
        <v>451</v>
      </c>
      <c r="V92" s="6">
        <v>1353</v>
      </c>
      <c r="W92" s="6">
        <v>451</v>
      </c>
      <c r="X92" s="6">
        <v>451</v>
      </c>
      <c r="Y92" s="6">
        <v>451</v>
      </c>
      <c r="Z92" s="6">
        <v>1353</v>
      </c>
      <c r="AA92" s="4">
        <v>1353</v>
      </c>
      <c r="AB92" s="25">
        <v>2255</v>
      </c>
      <c r="AC92" s="25">
        <v>2254</v>
      </c>
      <c r="AD92" s="25">
        <v>2255</v>
      </c>
      <c r="AE92">
        <v>12177</v>
      </c>
      <c r="AF92" t="s">
        <v>199</v>
      </c>
      <c r="AG92" t="s">
        <v>198</v>
      </c>
      <c r="AH92" s="33">
        <v>0.4864127516514416</v>
      </c>
      <c r="AI92" s="12" t="e">
        <v>#N/A</v>
      </c>
      <c r="AJ92">
        <v>0</v>
      </c>
      <c r="AK92">
        <v>0</v>
      </c>
    </row>
    <row r="93" spans="1:37" ht="15.75" x14ac:dyDescent="0.25">
      <c r="A93" s="4">
        <v>92</v>
      </c>
      <c r="B93" s="5" t="s">
        <v>237</v>
      </c>
      <c r="C93" s="5" t="s">
        <v>57</v>
      </c>
      <c r="D93" s="5" t="s">
        <v>88</v>
      </c>
      <c r="E93" s="7">
        <v>7933</v>
      </c>
      <c r="F93" s="4" t="s">
        <v>240</v>
      </c>
      <c r="G93" s="6">
        <v>450</v>
      </c>
      <c r="H93" s="6">
        <v>450</v>
      </c>
      <c r="I93" s="6">
        <v>450</v>
      </c>
      <c r="J93" s="6">
        <v>1350</v>
      </c>
      <c r="K93" s="6">
        <v>450</v>
      </c>
      <c r="L93" s="6">
        <v>450</v>
      </c>
      <c r="M93" s="6">
        <v>450</v>
      </c>
      <c r="N93" s="6">
        <v>1350</v>
      </c>
      <c r="O93" s="6">
        <v>450</v>
      </c>
      <c r="P93" s="6">
        <v>450</v>
      </c>
      <c r="Q93" s="6">
        <v>450</v>
      </c>
      <c r="R93" s="6">
        <v>1350</v>
      </c>
      <c r="S93" s="6">
        <v>450</v>
      </c>
      <c r="T93" s="6">
        <v>450</v>
      </c>
      <c r="U93" s="6">
        <v>450</v>
      </c>
      <c r="V93" s="6">
        <v>1350</v>
      </c>
      <c r="W93" s="6">
        <v>450</v>
      </c>
      <c r="X93" s="6">
        <v>450</v>
      </c>
      <c r="Y93" s="6">
        <v>315</v>
      </c>
      <c r="Z93" s="6">
        <v>1215</v>
      </c>
      <c r="AA93" s="4">
        <v>1350</v>
      </c>
      <c r="AB93" s="25">
        <v>2250</v>
      </c>
      <c r="AC93" s="25">
        <v>2241</v>
      </c>
      <c r="AD93" s="25">
        <v>2115</v>
      </c>
      <c r="AE93">
        <v>12015</v>
      </c>
      <c r="AF93" t="s">
        <v>198</v>
      </c>
      <c r="AG93" t="s">
        <v>198</v>
      </c>
      <c r="AH93" s="33">
        <v>0.28055614248431482</v>
      </c>
      <c r="AI93" s="12">
        <v>0</v>
      </c>
      <c r="AJ93">
        <v>0</v>
      </c>
      <c r="AK93">
        <v>0</v>
      </c>
    </row>
    <row r="94" spans="1:37" ht="15.75" x14ac:dyDescent="0.25">
      <c r="A94" s="4">
        <v>93</v>
      </c>
      <c r="B94" s="5" t="s">
        <v>237</v>
      </c>
      <c r="C94" s="5" t="s">
        <v>57</v>
      </c>
      <c r="D94" s="5" t="s">
        <v>89</v>
      </c>
      <c r="E94" s="7">
        <v>7931</v>
      </c>
      <c r="F94" s="4" t="s">
        <v>241</v>
      </c>
      <c r="G94" s="6">
        <v>441</v>
      </c>
      <c r="H94" s="6">
        <v>441</v>
      </c>
      <c r="I94" s="6">
        <v>441</v>
      </c>
      <c r="J94" s="6">
        <v>1323</v>
      </c>
      <c r="K94" s="6">
        <v>441</v>
      </c>
      <c r="L94" s="6">
        <v>441</v>
      </c>
      <c r="M94" s="6">
        <v>441</v>
      </c>
      <c r="N94" s="6">
        <v>1323</v>
      </c>
      <c r="O94" s="6">
        <v>441</v>
      </c>
      <c r="P94" s="6">
        <v>441</v>
      </c>
      <c r="Q94" s="6">
        <v>441</v>
      </c>
      <c r="R94" s="6">
        <v>1323</v>
      </c>
      <c r="S94" s="6">
        <v>441</v>
      </c>
      <c r="T94" s="6">
        <v>441</v>
      </c>
      <c r="U94" s="6">
        <v>441</v>
      </c>
      <c r="V94" s="6">
        <v>1323</v>
      </c>
      <c r="W94" s="6">
        <v>441</v>
      </c>
      <c r="X94" s="6">
        <v>441</v>
      </c>
      <c r="Y94" s="6">
        <v>441</v>
      </c>
      <c r="Z94" s="6">
        <v>1323</v>
      </c>
      <c r="AA94" s="4">
        <v>1323</v>
      </c>
      <c r="AB94" s="25">
        <v>2205</v>
      </c>
      <c r="AC94" s="25">
        <v>2067</v>
      </c>
      <c r="AD94" s="25">
        <v>2205</v>
      </c>
      <c r="AE94">
        <v>11907</v>
      </c>
      <c r="AF94" t="s">
        <v>198</v>
      </c>
      <c r="AG94" t="s">
        <v>198</v>
      </c>
      <c r="AH94" s="33">
        <v>2.3347660699708506E-3</v>
      </c>
      <c r="AI94" s="12" t="e">
        <v>#N/A</v>
      </c>
      <c r="AJ94">
        <v>0</v>
      </c>
      <c r="AK94">
        <v>0</v>
      </c>
    </row>
    <row r="95" spans="1:37" ht="15.75" x14ac:dyDescent="0.25">
      <c r="A95" s="4">
        <v>94</v>
      </c>
      <c r="B95" t="s">
        <v>237</v>
      </c>
      <c r="C95" s="5" t="s">
        <v>57</v>
      </c>
      <c r="D95" s="5" t="s">
        <v>89</v>
      </c>
      <c r="E95" s="7">
        <v>8116</v>
      </c>
      <c r="F95" s="4" t="s">
        <v>241</v>
      </c>
      <c r="G95" s="6">
        <v>303</v>
      </c>
      <c r="H95" s="6">
        <v>303</v>
      </c>
      <c r="I95" s="6">
        <v>303</v>
      </c>
      <c r="J95" s="6">
        <v>909</v>
      </c>
      <c r="K95" s="6">
        <v>303</v>
      </c>
      <c r="L95" s="6">
        <v>303</v>
      </c>
      <c r="M95" s="6">
        <v>303</v>
      </c>
      <c r="N95" s="6">
        <v>909</v>
      </c>
      <c r="O95" s="6">
        <v>303</v>
      </c>
      <c r="P95" s="6">
        <v>303</v>
      </c>
      <c r="Q95" s="6">
        <v>303</v>
      </c>
      <c r="R95" s="6">
        <v>909</v>
      </c>
      <c r="S95" s="6">
        <v>303</v>
      </c>
      <c r="T95" s="6">
        <v>303</v>
      </c>
      <c r="U95" s="6">
        <v>303</v>
      </c>
      <c r="V95" s="6">
        <v>909</v>
      </c>
      <c r="W95" s="6">
        <v>303</v>
      </c>
      <c r="X95" s="6">
        <v>303</v>
      </c>
      <c r="Y95" s="6">
        <v>303</v>
      </c>
      <c r="Z95" s="6">
        <v>909</v>
      </c>
      <c r="AA95" s="4">
        <v>909</v>
      </c>
      <c r="AB95" s="25">
        <v>1515</v>
      </c>
      <c r="AC95" s="25">
        <v>1437</v>
      </c>
      <c r="AD95" s="25">
        <v>1515</v>
      </c>
      <c r="AE95">
        <v>8181</v>
      </c>
      <c r="AF95" t="s">
        <v>198</v>
      </c>
      <c r="AG95" t="s">
        <v>198</v>
      </c>
      <c r="AH95" s="33">
        <v>0.84479402010205884</v>
      </c>
      <c r="AI95" s="12" t="e">
        <v>#N/A</v>
      </c>
      <c r="AJ95">
        <v>0</v>
      </c>
      <c r="AK95">
        <v>0</v>
      </c>
    </row>
    <row r="96" spans="1:37" ht="15.75" x14ac:dyDescent="0.25">
      <c r="A96" s="4">
        <v>95</v>
      </c>
      <c r="B96" s="5" t="s">
        <v>237</v>
      </c>
      <c r="C96" s="5" t="s">
        <v>90</v>
      </c>
      <c r="D96" s="5" t="s">
        <v>91</v>
      </c>
      <c r="E96" s="7">
        <v>609</v>
      </c>
      <c r="F96" s="4" t="s">
        <v>240</v>
      </c>
      <c r="G96" s="6">
        <v>225</v>
      </c>
      <c r="H96" s="6">
        <v>225</v>
      </c>
      <c r="I96" s="6">
        <v>225</v>
      </c>
      <c r="J96" s="6">
        <v>675</v>
      </c>
      <c r="K96" s="6">
        <v>225</v>
      </c>
      <c r="L96" s="6">
        <v>225</v>
      </c>
      <c r="M96" s="6">
        <v>225</v>
      </c>
      <c r="N96" s="6">
        <v>675</v>
      </c>
      <c r="O96" s="6">
        <v>225</v>
      </c>
      <c r="P96" s="6">
        <v>225</v>
      </c>
      <c r="Q96" s="6">
        <v>225</v>
      </c>
      <c r="R96" s="6">
        <v>675</v>
      </c>
      <c r="S96" s="6">
        <v>225</v>
      </c>
      <c r="T96" s="6">
        <v>225</v>
      </c>
      <c r="U96" s="6">
        <v>225</v>
      </c>
      <c r="V96" s="6">
        <v>675</v>
      </c>
      <c r="W96" s="6">
        <v>225</v>
      </c>
      <c r="X96" s="6">
        <v>200</v>
      </c>
      <c r="Y96" s="6">
        <v>205</v>
      </c>
      <c r="Z96" s="6">
        <v>630</v>
      </c>
      <c r="AA96" s="4">
        <v>675</v>
      </c>
      <c r="AB96" s="25">
        <v>1125</v>
      </c>
      <c r="AC96" s="25">
        <v>946</v>
      </c>
      <c r="AD96" s="25">
        <v>1105</v>
      </c>
      <c r="AE96">
        <v>6030</v>
      </c>
      <c r="AF96" t="s">
        <v>199</v>
      </c>
      <c r="AG96" t="s">
        <v>198</v>
      </c>
      <c r="AH96" s="33">
        <v>0.98450573828317622</v>
      </c>
      <c r="AI96" s="12">
        <v>0</v>
      </c>
      <c r="AJ96">
        <v>0</v>
      </c>
      <c r="AK96">
        <v>0</v>
      </c>
    </row>
    <row r="97" spans="1:37" ht="15.75" x14ac:dyDescent="0.25">
      <c r="A97" s="4">
        <v>96</v>
      </c>
      <c r="B97" s="5" t="s">
        <v>237</v>
      </c>
      <c r="C97" s="5" t="s">
        <v>90</v>
      </c>
      <c r="D97" s="5" t="s">
        <v>92</v>
      </c>
      <c r="E97" s="7">
        <v>13299</v>
      </c>
      <c r="F97" s="4" t="s">
        <v>241</v>
      </c>
      <c r="G97" s="6">
        <v>71</v>
      </c>
      <c r="H97" s="6">
        <v>71</v>
      </c>
      <c r="I97" s="6">
        <v>71</v>
      </c>
      <c r="J97" s="6">
        <v>213</v>
      </c>
      <c r="K97" s="6">
        <v>71</v>
      </c>
      <c r="L97" s="6">
        <v>71</v>
      </c>
      <c r="M97" s="6">
        <v>71</v>
      </c>
      <c r="N97" s="6">
        <v>213</v>
      </c>
      <c r="O97" s="6">
        <v>71</v>
      </c>
      <c r="P97" s="6">
        <v>71</v>
      </c>
      <c r="Q97" s="6">
        <v>71</v>
      </c>
      <c r="R97" s="6">
        <v>213</v>
      </c>
      <c r="S97" s="6">
        <v>71</v>
      </c>
      <c r="T97" s="6">
        <v>71</v>
      </c>
      <c r="U97" s="6">
        <v>71</v>
      </c>
      <c r="V97" s="6">
        <v>213</v>
      </c>
      <c r="W97" s="6">
        <v>71</v>
      </c>
      <c r="X97" s="6">
        <v>71</v>
      </c>
      <c r="Y97" s="6">
        <v>71</v>
      </c>
      <c r="Z97" s="6">
        <v>213</v>
      </c>
      <c r="AA97" s="4">
        <v>213</v>
      </c>
      <c r="AB97" s="25">
        <v>355</v>
      </c>
      <c r="AC97" s="25">
        <v>320</v>
      </c>
      <c r="AD97" s="25">
        <v>355</v>
      </c>
      <c r="AE97">
        <v>1917</v>
      </c>
      <c r="AF97" t="s">
        <v>198</v>
      </c>
      <c r="AG97" t="s">
        <v>198</v>
      </c>
      <c r="AH97" s="33">
        <v>0.98161575904547171</v>
      </c>
      <c r="AI97" s="12">
        <v>0</v>
      </c>
      <c r="AJ97">
        <v>0</v>
      </c>
      <c r="AK97">
        <v>0</v>
      </c>
    </row>
    <row r="98" spans="1:37" ht="15.75" x14ac:dyDescent="0.25">
      <c r="A98" s="4">
        <v>97</v>
      </c>
      <c r="B98" s="5" t="s">
        <v>237</v>
      </c>
      <c r="C98" s="5" t="s">
        <v>90</v>
      </c>
      <c r="D98" s="5" t="s">
        <v>92</v>
      </c>
      <c r="E98" s="7">
        <v>8800</v>
      </c>
      <c r="F98" s="4" t="s">
        <v>241</v>
      </c>
      <c r="G98" s="6">
        <v>36</v>
      </c>
      <c r="H98" s="6">
        <v>36</v>
      </c>
      <c r="I98" s="6">
        <v>36</v>
      </c>
      <c r="J98" s="6">
        <v>108</v>
      </c>
      <c r="K98" s="6">
        <v>36</v>
      </c>
      <c r="L98" s="6">
        <v>36</v>
      </c>
      <c r="M98" s="6">
        <v>36</v>
      </c>
      <c r="N98" s="6">
        <v>108</v>
      </c>
      <c r="O98" s="6">
        <v>36</v>
      </c>
      <c r="P98" s="6">
        <v>36</v>
      </c>
      <c r="Q98" s="6">
        <v>36</v>
      </c>
      <c r="R98" s="6">
        <v>108</v>
      </c>
      <c r="S98" s="6">
        <v>36</v>
      </c>
      <c r="T98" s="6">
        <v>36</v>
      </c>
      <c r="U98" s="6">
        <v>36</v>
      </c>
      <c r="V98" s="6">
        <v>108</v>
      </c>
      <c r="W98" s="6">
        <v>36</v>
      </c>
      <c r="X98" s="6">
        <v>36</v>
      </c>
      <c r="Y98" s="6">
        <v>36</v>
      </c>
      <c r="Z98" s="6">
        <v>108</v>
      </c>
      <c r="AA98" s="4">
        <v>108</v>
      </c>
      <c r="AB98" s="25">
        <v>180</v>
      </c>
      <c r="AC98" s="25">
        <v>185</v>
      </c>
      <c r="AD98" s="25">
        <v>180</v>
      </c>
      <c r="AE98">
        <v>972</v>
      </c>
      <c r="AF98" t="s">
        <v>198</v>
      </c>
      <c r="AG98" t="s">
        <v>198</v>
      </c>
      <c r="AH98" s="33">
        <v>0.5614884606399706</v>
      </c>
      <c r="AI98" s="12">
        <v>1.5067605384864641E-2</v>
      </c>
      <c r="AJ98">
        <v>0</v>
      </c>
      <c r="AK98">
        <v>0</v>
      </c>
    </row>
    <row r="99" spans="1:37" ht="15.75" x14ac:dyDescent="0.25">
      <c r="A99" s="4">
        <v>98</v>
      </c>
      <c r="B99" s="5" t="s">
        <v>237</v>
      </c>
      <c r="C99" s="5" t="s">
        <v>90</v>
      </c>
      <c r="D99" s="5" t="s">
        <v>92</v>
      </c>
      <c r="E99" s="7">
        <v>643</v>
      </c>
      <c r="F99" s="4" t="s">
        <v>241</v>
      </c>
      <c r="G99" s="6">
        <v>41</v>
      </c>
      <c r="H99" s="6">
        <v>41</v>
      </c>
      <c r="I99" s="6">
        <v>41</v>
      </c>
      <c r="J99" s="6">
        <v>123</v>
      </c>
      <c r="K99" s="6">
        <v>41</v>
      </c>
      <c r="L99" s="6">
        <v>41</v>
      </c>
      <c r="M99" s="6">
        <v>41</v>
      </c>
      <c r="N99" s="6">
        <v>123</v>
      </c>
      <c r="O99" s="6">
        <v>41</v>
      </c>
      <c r="P99" s="6">
        <v>41</v>
      </c>
      <c r="Q99" s="6">
        <v>41</v>
      </c>
      <c r="R99" s="6">
        <v>123</v>
      </c>
      <c r="S99" s="6">
        <v>41</v>
      </c>
      <c r="T99" s="6">
        <v>41</v>
      </c>
      <c r="U99" s="6">
        <v>41</v>
      </c>
      <c r="V99" s="6">
        <v>123</v>
      </c>
      <c r="W99" s="6">
        <v>41</v>
      </c>
      <c r="X99" s="6">
        <v>41</v>
      </c>
      <c r="Y99" s="6">
        <v>41</v>
      </c>
      <c r="Z99" s="6">
        <v>123</v>
      </c>
      <c r="AA99" s="4">
        <v>123</v>
      </c>
      <c r="AB99" s="25">
        <v>205</v>
      </c>
      <c r="AC99" s="25">
        <v>205</v>
      </c>
      <c r="AD99" s="25">
        <v>205</v>
      </c>
      <c r="AE99">
        <v>1107</v>
      </c>
      <c r="AF99" t="s">
        <v>199</v>
      </c>
      <c r="AG99" t="s">
        <v>198</v>
      </c>
      <c r="AH99" s="33">
        <v>0.31695129095734131</v>
      </c>
      <c r="AI99" s="12">
        <v>2.3218741336290545E-2</v>
      </c>
      <c r="AJ99">
        <v>0</v>
      </c>
      <c r="AK99">
        <v>0</v>
      </c>
    </row>
    <row r="100" spans="1:37" ht="15.75" x14ac:dyDescent="0.25">
      <c r="A100" s="4">
        <v>99</v>
      </c>
      <c r="B100" s="5" t="s">
        <v>237</v>
      </c>
      <c r="C100" s="5" t="s">
        <v>90</v>
      </c>
      <c r="D100" s="5" t="s">
        <v>93</v>
      </c>
      <c r="E100" s="7">
        <v>8040</v>
      </c>
      <c r="F100" s="4" t="s">
        <v>241</v>
      </c>
      <c r="G100" s="6">
        <v>41</v>
      </c>
      <c r="H100" s="6">
        <v>41</v>
      </c>
      <c r="I100" s="6">
        <v>41</v>
      </c>
      <c r="J100" s="6">
        <v>123</v>
      </c>
      <c r="K100" s="6">
        <v>41</v>
      </c>
      <c r="L100" s="6">
        <v>41</v>
      </c>
      <c r="M100" s="6">
        <v>41</v>
      </c>
      <c r="N100" s="6">
        <v>123</v>
      </c>
      <c r="O100" s="6">
        <v>41</v>
      </c>
      <c r="P100" s="6">
        <v>41</v>
      </c>
      <c r="Q100" s="6">
        <v>41</v>
      </c>
      <c r="R100" s="6">
        <v>123</v>
      </c>
      <c r="S100" s="6">
        <v>41</v>
      </c>
      <c r="T100" s="6">
        <v>41</v>
      </c>
      <c r="U100" s="6">
        <v>41</v>
      </c>
      <c r="V100" s="6">
        <v>123</v>
      </c>
      <c r="W100" s="6">
        <v>41</v>
      </c>
      <c r="X100" s="6">
        <v>41</v>
      </c>
      <c r="Y100" s="6">
        <v>41</v>
      </c>
      <c r="Z100" s="6">
        <v>123</v>
      </c>
      <c r="AA100" s="4">
        <v>123</v>
      </c>
      <c r="AB100" s="25">
        <v>205</v>
      </c>
      <c r="AC100" s="25">
        <v>271</v>
      </c>
      <c r="AD100" s="25">
        <v>205</v>
      </c>
      <c r="AE100">
        <v>1107</v>
      </c>
      <c r="AF100" t="s">
        <v>198</v>
      </c>
      <c r="AG100" t="s">
        <v>199</v>
      </c>
      <c r="AH100" s="33">
        <v>0.64042866833509349</v>
      </c>
      <c r="AI100" s="12">
        <v>0</v>
      </c>
      <c r="AJ100">
        <v>0</v>
      </c>
      <c r="AK100">
        <v>0</v>
      </c>
    </row>
    <row r="101" spans="1:37" ht="15.75" x14ac:dyDescent="0.25">
      <c r="A101" s="4">
        <v>100</v>
      </c>
      <c r="B101" s="5" t="s">
        <v>237</v>
      </c>
      <c r="C101" s="5" t="s">
        <v>90</v>
      </c>
      <c r="D101" s="5" t="s">
        <v>94</v>
      </c>
      <c r="E101" s="7">
        <v>8041</v>
      </c>
      <c r="F101" s="4" t="s">
        <v>241</v>
      </c>
      <c r="G101" s="6">
        <v>107</v>
      </c>
      <c r="H101" s="6">
        <v>107</v>
      </c>
      <c r="I101" s="6">
        <v>107</v>
      </c>
      <c r="J101" s="6">
        <v>321</v>
      </c>
      <c r="K101" s="6">
        <v>107</v>
      </c>
      <c r="L101" s="6">
        <v>107</v>
      </c>
      <c r="M101" s="6">
        <v>107</v>
      </c>
      <c r="N101" s="6">
        <v>321</v>
      </c>
      <c r="O101" s="6">
        <v>107</v>
      </c>
      <c r="P101" s="6">
        <v>107</v>
      </c>
      <c r="Q101" s="6">
        <v>107</v>
      </c>
      <c r="R101" s="6">
        <v>321</v>
      </c>
      <c r="S101" s="6">
        <v>107</v>
      </c>
      <c r="T101" s="6">
        <v>107</v>
      </c>
      <c r="U101" s="6">
        <v>107</v>
      </c>
      <c r="V101" s="6">
        <v>321</v>
      </c>
      <c r="W101" s="6">
        <v>107</v>
      </c>
      <c r="X101" s="6">
        <v>107</v>
      </c>
      <c r="Y101" s="6">
        <v>107</v>
      </c>
      <c r="Z101" s="6">
        <v>321</v>
      </c>
      <c r="AA101" s="4">
        <v>321</v>
      </c>
      <c r="AB101" s="25">
        <v>535</v>
      </c>
      <c r="AC101" s="25">
        <v>509</v>
      </c>
      <c r="AD101" s="25">
        <v>535</v>
      </c>
      <c r="AE101">
        <v>2889</v>
      </c>
      <c r="AF101" t="s">
        <v>198</v>
      </c>
      <c r="AG101" t="s">
        <v>199</v>
      </c>
      <c r="AH101" s="33">
        <v>0.20858618876249657</v>
      </c>
      <c r="AI101" s="12">
        <v>3.3251949566358137E-2</v>
      </c>
      <c r="AJ101">
        <v>0</v>
      </c>
      <c r="AK101">
        <v>0</v>
      </c>
    </row>
    <row r="102" spans="1:37" ht="15.75" x14ac:dyDescent="0.25">
      <c r="A102" s="4">
        <v>101</v>
      </c>
      <c r="B102" s="5" t="s">
        <v>237</v>
      </c>
      <c r="C102" s="5" t="s">
        <v>90</v>
      </c>
      <c r="D102" s="5" t="s">
        <v>94</v>
      </c>
      <c r="E102" s="7">
        <v>34029</v>
      </c>
      <c r="F102" s="4" t="s">
        <v>241</v>
      </c>
      <c r="G102" s="6">
        <v>81</v>
      </c>
      <c r="H102" s="6">
        <v>81</v>
      </c>
      <c r="I102" s="6">
        <v>81</v>
      </c>
      <c r="J102" s="6">
        <v>243</v>
      </c>
      <c r="K102" s="6">
        <v>81</v>
      </c>
      <c r="L102" s="6">
        <v>81</v>
      </c>
      <c r="M102" s="6">
        <v>81</v>
      </c>
      <c r="N102" s="6">
        <v>243</v>
      </c>
      <c r="O102" s="6">
        <v>81</v>
      </c>
      <c r="P102" s="6">
        <v>81</v>
      </c>
      <c r="Q102" s="6">
        <v>81</v>
      </c>
      <c r="R102" s="6">
        <v>243</v>
      </c>
      <c r="S102" s="6">
        <v>81</v>
      </c>
      <c r="T102" s="6">
        <v>81</v>
      </c>
      <c r="U102" s="6">
        <v>81</v>
      </c>
      <c r="V102" s="6">
        <v>243</v>
      </c>
      <c r="W102" s="6">
        <v>81</v>
      </c>
      <c r="X102" s="6">
        <v>81</v>
      </c>
      <c r="Y102" s="6">
        <v>81</v>
      </c>
      <c r="Z102" s="6">
        <v>243</v>
      </c>
      <c r="AA102" s="4">
        <v>243</v>
      </c>
      <c r="AB102" s="25">
        <v>405</v>
      </c>
      <c r="AC102" s="25">
        <v>354</v>
      </c>
      <c r="AD102" s="25">
        <v>405</v>
      </c>
      <c r="AE102">
        <v>2187</v>
      </c>
      <c r="AF102" t="s">
        <v>198</v>
      </c>
      <c r="AG102" t="s">
        <v>199</v>
      </c>
      <c r="AH102" s="33">
        <v>0.2596124009984857</v>
      </c>
      <c r="AI102" s="12">
        <v>1.5669696777064396E-2</v>
      </c>
      <c r="AJ102">
        <v>0</v>
      </c>
      <c r="AK102">
        <v>0</v>
      </c>
    </row>
    <row r="103" spans="1:37" ht="15.75" x14ac:dyDescent="0.25">
      <c r="A103" s="4">
        <v>102</v>
      </c>
      <c r="B103" s="5" t="s">
        <v>237</v>
      </c>
      <c r="C103" s="5" t="s">
        <v>90</v>
      </c>
      <c r="D103" s="5" t="s">
        <v>95</v>
      </c>
      <c r="E103" s="7">
        <v>30676</v>
      </c>
      <c r="F103" s="4" t="s">
        <v>241</v>
      </c>
      <c r="G103" s="6">
        <v>30</v>
      </c>
      <c r="H103" s="6">
        <v>30</v>
      </c>
      <c r="I103" s="6">
        <v>30</v>
      </c>
      <c r="J103" s="6">
        <v>90</v>
      </c>
      <c r="K103" s="6">
        <v>30</v>
      </c>
      <c r="L103" s="6">
        <v>30</v>
      </c>
      <c r="M103" s="6">
        <v>30</v>
      </c>
      <c r="N103" s="6">
        <v>90</v>
      </c>
      <c r="O103" s="6">
        <v>30</v>
      </c>
      <c r="P103" s="6">
        <v>30</v>
      </c>
      <c r="Q103" s="6">
        <v>30</v>
      </c>
      <c r="R103" s="6">
        <v>90</v>
      </c>
      <c r="S103" s="6">
        <v>30</v>
      </c>
      <c r="T103" s="6">
        <v>30</v>
      </c>
      <c r="U103" s="6">
        <v>30</v>
      </c>
      <c r="V103" s="6">
        <v>90</v>
      </c>
      <c r="W103" s="6">
        <v>30</v>
      </c>
      <c r="X103" s="6">
        <v>30</v>
      </c>
      <c r="Y103" s="6">
        <v>30</v>
      </c>
      <c r="Z103" s="6">
        <v>90</v>
      </c>
      <c r="AA103" s="4">
        <v>90</v>
      </c>
      <c r="AB103" s="25">
        <v>150</v>
      </c>
      <c r="AC103" s="25">
        <v>439</v>
      </c>
      <c r="AD103" s="25">
        <v>150</v>
      </c>
      <c r="AE103">
        <v>810</v>
      </c>
      <c r="AF103" t="s">
        <v>199</v>
      </c>
      <c r="AG103" t="s">
        <v>199</v>
      </c>
      <c r="AH103" s="33">
        <v>0.9255724386381341</v>
      </c>
      <c r="AI103" s="12">
        <v>1.6996444037601661E-2</v>
      </c>
      <c r="AJ103">
        <v>0</v>
      </c>
      <c r="AK103">
        <v>0</v>
      </c>
    </row>
    <row r="104" spans="1:37" ht="15.75" x14ac:dyDescent="0.25">
      <c r="A104" s="4">
        <v>103</v>
      </c>
      <c r="B104" s="5" t="s">
        <v>237</v>
      </c>
      <c r="C104" s="5" t="s">
        <v>90</v>
      </c>
      <c r="D104" s="5" t="s">
        <v>96</v>
      </c>
      <c r="E104" s="7">
        <v>9245</v>
      </c>
      <c r="F104" s="4" t="s">
        <v>241</v>
      </c>
      <c r="G104" s="6">
        <v>319</v>
      </c>
      <c r="H104" s="6">
        <v>319</v>
      </c>
      <c r="I104" s="6">
        <v>319</v>
      </c>
      <c r="J104" s="6">
        <v>957</v>
      </c>
      <c r="K104" s="6">
        <v>319</v>
      </c>
      <c r="L104" s="6">
        <v>319</v>
      </c>
      <c r="M104" s="6">
        <v>319</v>
      </c>
      <c r="N104" s="6">
        <v>957</v>
      </c>
      <c r="O104" s="6">
        <v>319</v>
      </c>
      <c r="P104" s="6">
        <v>319</v>
      </c>
      <c r="Q104" s="6">
        <v>319</v>
      </c>
      <c r="R104" s="6">
        <v>957</v>
      </c>
      <c r="S104" s="6">
        <v>319</v>
      </c>
      <c r="T104" s="6">
        <v>319</v>
      </c>
      <c r="U104" s="6">
        <v>319</v>
      </c>
      <c r="V104" s="6">
        <v>957</v>
      </c>
      <c r="W104" s="6">
        <v>319</v>
      </c>
      <c r="X104" s="6">
        <v>319</v>
      </c>
      <c r="Y104" s="6">
        <v>319</v>
      </c>
      <c r="Z104" s="6">
        <v>957</v>
      </c>
      <c r="AA104" s="4">
        <v>957</v>
      </c>
      <c r="AB104" s="25">
        <v>1595</v>
      </c>
      <c r="AC104" s="25">
        <v>1748</v>
      </c>
      <c r="AD104" s="25">
        <v>1595</v>
      </c>
      <c r="AE104">
        <v>8613</v>
      </c>
      <c r="AF104" t="s">
        <v>198</v>
      </c>
      <c r="AG104" t="s">
        <v>198</v>
      </c>
      <c r="AH104" s="33">
        <v>0.1295618299782676</v>
      </c>
      <c r="AI104" s="12">
        <v>2.5130231722651337E-2</v>
      </c>
      <c r="AJ104">
        <v>0</v>
      </c>
      <c r="AK104">
        <v>1</v>
      </c>
    </row>
    <row r="105" spans="1:37" ht="15.75" x14ac:dyDescent="0.25">
      <c r="A105" s="4">
        <v>104</v>
      </c>
      <c r="B105" s="5" t="s">
        <v>237</v>
      </c>
      <c r="C105" s="5" t="s">
        <v>97</v>
      </c>
      <c r="D105" s="5" t="s">
        <v>98</v>
      </c>
      <c r="E105" s="7">
        <v>8992</v>
      </c>
      <c r="F105" s="4" t="s">
        <v>240</v>
      </c>
      <c r="G105" s="6">
        <v>472</v>
      </c>
      <c r="H105" s="6">
        <v>472</v>
      </c>
      <c r="I105" s="6">
        <v>472</v>
      </c>
      <c r="J105" s="6">
        <v>1416</v>
      </c>
      <c r="K105" s="6">
        <v>472</v>
      </c>
      <c r="L105" s="6">
        <v>472</v>
      </c>
      <c r="M105" s="6">
        <v>472</v>
      </c>
      <c r="N105" s="6">
        <v>1416</v>
      </c>
      <c r="O105" s="6">
        <v>472</v>
      </c>
      <c r="P105" s="6">
        <v>472</v>
      </c>
      <c r="Q105" s="6">
        <v>472</v>
      </c>
      <c r="R105" s="6">
        <v>1416</v>
      </c>
      <c r="S105" s="6">
        <v>472</v>
      </c>
      <c r="T105" s="6">
        <v>472</v>
      </c>
      <c r="U105" s="6">
        <v>472</v>
      </c>
      <c r="V105" s="6">
        <v>1416</v>
      </c>
      <c r="W105" s="6">
        <v>472</v>
      </c>
      <c r="X105" s="6">
        <v>472</v>
      </c>
      <c r="Y105" s="6">
        <v>471</v>
      </c>
      <c r="Z105" s="6">
        <v>1415</v>
      </c>
      <c r="AA105" s="4">
        <v>1416</v>
      </c>
      <c r="AB105" s="25">
        <v>2360</v>
      </c>
      <c r="AC105" s="25">
        <v>2118</v>
      </c>
      <c r="AD105" s="25">
        <v>2359</v>
      </c>
      <c r="AE105">
        <v>12743</v>
      </c>
      <c r="AF105" t="s">
        <v>198</v>
      </c>
      <c r="AG105" t="s">
        <v>198</v>
      </c>
      <c r="AH105" s="33">
        <v>0.83739610918103935</v>
      </c>
      <c r="AI105" s="12">
        <v>0</v>
      </c>
      <c r="AJ105">
        <v>1</v>
      </c>
      <c r="AK105">
        <v>0</v>
      </c>
    </row>
    <row r="106" spans="1:37" ht="15.75" x14ac:dyDescent="0.25">
      <c r="A106" s="4">
        <v>105</v>
      </c>
      <c r="B106" s="5" t="s">
        <v>237</v>
      </c>
      <c r="C106" s="5" t="s">
        <v>97</v>
      </c>
      <c r="D106" s="5" t="s">
        <v>99</v>
      </c>
      <c r="E106" s="7">
        <v>8548</v>
      </c>
      <c r="F106" s="4" t="s">
        <v>240</v>
      </c>
      <c r="G106" s="6">
        <v>230</v>
      </c>
      <c r="H106" s="6">
        <v>230</v>
      </c>
      <c r="I106" s="6">
        <v>230</v>
      </c>
      <c r="J106" s="6">
        <v>690</v>
      </c>
      <c r="K106" s="6">
        <v>230</v>
      </c>
      <c r="L106" s="6">
        <v>230</v>
      </c>
      <c r="M106" s="6">
        <v>230</v>
      </c>
      <c r="N106" s="6">
        <v>690</v>
      </c>
      <c r="O106" s="6">
        <v>230</v>
      </c>
      <c r="P106" s="6">
        <v>230</v>
      </c>
      <c r="Q106" s="6">
        <v>230</v>
      </c>
      <c r="R106" s="6">
        <v>690</v>
      </c>
      <c r="S106" s="6">
        <v>230</v>
      </c>
      <c r="T106" s="6">
        <v>230</v>
      </c>
      <c r="U106" s="6">
        <v>230</v>
      </c>
      <c r="V106" s="6">
        <v>690</v>
      </c>
      <c r="W106" s="6">
        <v>230</v>
      </c>
      <c r="X106" s="6">
        <v>230</v>
      </c>
      <c r="Y106" s="6">
        <v>230</v>
      </c>
      <c r="Z106" s="6">
        <v>690</v>
      </c>
      <c r="AA106" s="4">
        <v>690</v>
      </c>
      <c r="AB106" s="25">
        <v>1150</v>
      </c>
      <c r="AC106" s="25">
        <v>955</v>
      </c>
      <c r="AD106" s="25">
        <v>1150</v>
      </c>
      <c r="AE106">
        <v>6210</v>
      </c>
      <c r="AF106" t="s">
        <v>199</v>
      </c>
      <c r="AG106" t="s">
        <v>199</v>
      </c>
      <c r="AH106" s="33">
        <v>0.32361041469320584</v>
      </c>
      <c r="AI106" s="12">
        <v>0</v>
      </c>
      <c r="AJ106">
        <v>0</v>
      </c>
      <c r="AK106">
        <v>0</v>
      </c>
    </row>
    <row r="107" spans="1:37" ht="15.75" x14ac:dyDescent="0.25">
      <c r="A107" s="4">
        <v>106</v>
      </c>
      <c r="B107" s="5" t="s">
        <v>237</v>
      </c>
      <c r="C107" s="5" t="s">
        <v>97</v>
      </c>
      <c r="D107" s="5" t="s">
        <v>100</v>
      </c>
      <c r="E107" s="7">
        <v>7939</v>
      </c>
      <c r="F107" s="4" t="s">
        <v>241</v>
      </c>
      <c r="G107" s="6">
        <v>35</v>
      </c>
      <c r="H107" s="6">
        <v>35</v>
      </c>
      <c r="I107" s="6">
        <v>35</v>
      </c>
      <c r="J107" s="6">
        <v>105</v>
      </c>
      <c r="K107" s="6">
        <v>35</v>
      </c>
      <c r="L107" s="6">
        <v>35</v>
      </c>
      <c r="M107" s="6">
        <v>35</v>
      </c>
      <c r="N107" s="6">
        <v>105</v>
      </c>
      <c r="O107" s="6">
        <v>35</v>
      </c>
      <c r="P107" s="6">
        <v>35</v>
      </c>
      <c r="Q107" s="6">
        <v>35</v>
      </c>
      <c r="R107" s="6">
        <v>105</v>
      </c>
      <c r="S107" s="6">
        <v>35</v>
      </c>
      <c r="T107" s="6">
        <v>35</v>
      </c>
      <c r="U107" s="6">
        <v>35</v>
      </c>
      <c r="V107" s="6">
        <v>105</v>
      </c>
      <c r="W107" s="6">
        <v>35</v>
      </c>
      <c r="X107" s="6">
        <v>35</v>
      </c>
      <c r="Y107" s="6">
        <v>37</v>
      </c>
      <c r="Z107" s="6">
        <v>107</v>
      </c>
      <c r="AA107" s="4">
        <v>105</v>
      </c>
      <c r="AB107" s="25">
        <v>175</v>
      </c>
      <c r="AC107" s="25">
        <v>363</v>
      </c>
      <c r="AD107" s="25">
        <v>177</v>
      </c>
      <c r="AE107">
        <v>947</v>
      </c>
      <c r="AF107" t="s">
        <v>198</v>
      </c>
      <c r="AG107" t="s">
        <v>199</v>
      </c>
      <c r="AH107" s="33">
        <v>0.37806037835773909</v>
      </c>
      <c r="AI107" s="12" t="e">
        <v>#N/A</v>
      </c>
      <c r="AJ107">
        <v>0</v>
      </c>
      <c r="AK107">
        <v>0</v>
      </c>
    </row>
    <row r="108" spans="1:37" ht="15.75" x14ac:dyDescent="0.25">
      <c r="A108" s="4">
        <v>107</v>
      </c>
      <c r="B108" s="5" t="s">
        <v>236</v>
      </c>
      <c r="C108" s="5" t="s">
        <v>13</v>
      </c>
      <c r="D108" s="5" t="s">
        <v>14</v>
      </c>
      <c r="E108" s="7">
        <v>8044</v>
      </c>
      <c r="F108" s="4" t="s">
        <v>241</v>
      </c>
      <c r="G108" s="6">
        <v>223</v>
      </c>
      <c r="H108" s="6">
        <v>223</v>
      </c>
      <c r="I108" s="6">
        <v>223</v>
      </c>
      <c r="J108" s="6">
        <v>669</v>
      </c>
      <c r="K108" s="6">
        <v>223</v>
      </c>
      <c r="L108" s="6">
        <v>223</v>
      </c>
      <c r="M108" s="6">
        <v>223</v>
      </c>
      <c r="N108" s="6">
        <v>669</v>
      </c>
      <c r="O108" s="6">
        <v>223</v>
      </c>
      <c r="P108" s="6">
        <v>223</v>
      </c>
      <c r="Q108" s="6">
        <v>223</v>
      </c>
      <c r="R108" s="6">
        <v>669</v>
      </c>
      <c r="S108" s="6">
        <v>223</v>
      </c>
      <c r="T108" s="6">
        <v>223</v>
      </c>
      <c r="U108" s="6">
        <v>223</v>
      </c>
      <c r="V108" s="6">
        <v>669</v>
      </c>
      <c r="W108" s="6">
        <v>223</v>
      </c>
      <c r="X108" s="6">
        <v>223</v>
      </c>
      <c r="Y108" s="6">
        <v>223</v>
      </c>
      <c r="Z108" s="6">
        <v>669</v>
      </c>
      <c r="AA108" s="4">
        <v>669</v>
      </c>
      <c r="AB108" s="25">
        <v>1115</v>
      </c>
      <c r="AC108" s="25">
        <v>1034</v>
      </c>
      <c r="AD108" s="25">
        <v>1115</v>
      </c>
      <c r="AE108">
        <v>6021</v>
      </c>
      <c r="AF108" t="s">
        <v>199</v>
      </c>
      <c r="AG108" t="s">
        <v>199</v>
      </c>
      <c r="AH108" s="33">
        <v>0.37269860926077769</v>
      </c>
      <c r="AI108" s="12">
        <v>0</v>
      </c>
      <c r="AJ108">
        <v>0</v>
      </c>
      <c r="AK108">
        <v>1</v>
      </c>
    </row>
    <row r="109" spans="1:37" ht="15.75" x14ac:dyDescent="0.25">
      <c r="A109" s="4">
        <v>108</v>
      </c>
      <c r="B109" s="5" t="s">
        <v>236</v>
      </c>
      <c r="C109" s="5" t="s">
        <v>13</v>
      </c>
      <c r="D109" s="5" t="s">
        <v>14</v>
      </c>
      <c r="E109" s="7">
        <v>8043</v>
      </c>
      <c r="F109" s="4" t="s">
        <v>241</v>
      </c>
      <c r="G109" s="6">
        <v>142</v>
      </c>
      <c r="H109" s="6">
        <v>142</v>
      </c>
      <c r="I109" s="6">
        <v>142</v>
      </c>
      <c r="J109" s="6">
        <v>426</v>
      </c>
      <c r="K109" s="6">
        <v>142</v>
      </c>
      <c r="L109" s="6">
        <v>142</v>
      </c>
      <c r="M109" s="6">
        <v>142</v>
      </c>
      <c r="N109" s="6">
        <v>426</v>
      </c>
      <c r="O109" s="6">
        <v>142</v>
      </c>
      <c r="P109" s="6">
        <v>142</v>
      </c>
      <c r="Q109" s="6">
        <v>142</v>
      </c>
      <c r="R109" s="6">
        <v>426</v>
      </c>
      <c r="S109" s="6">
        <v>142</v>
      </c>
      <c r="T109" s="6">
        <v>142</v>
      </c>
      <c r="U109" s="6">
        <v>142</v>
      </c>
      <c r="V109" s="6">
        <v>426</v>
      </c>
      <c r="W109" s="6">
        <v>142</v>
      </c>
      <c r="X109" s="6">
        <v>142</v>
      </c>
      <c r="Y109" s="6">
        <v>142</v>
      </c>
      <c r="Z109" s="6">
        <v>426</v>
      </c>
      <c r="AA109" s="4">
        <v>426</v>
      </c>
      <c r="AB109" s="25">
        <v>710</v>
      </c>
      <c r="AC109" s="25">
        <v>781</v>
      </c>
      <c r="AD109" s="25">
        <v>710</v>
      </c>
      <c r="AE109">
        <v>3834</v>
      </c>
      <c r="AF109" t="s">
        <v>199</v>
      </c>
      <c r="AG109" t="s">
        <v>199</v>
      </c>
      <c r="AH109" s="33">
        <v>0.11406411025762231</v>
      </c>
      <c r="AI109" s="12">
        <v>0</v>
      </c>
      <c r="AJ109">
        <v>0</v>
      </c>
      <c r="AK109">
        <v>0</v>
      </c>
    </row>
    <row r="110" spans="1:37" ht="15.75" x14ac:dyDescent="0.25">
      <c r="A110" s="4">
        <v>109</v>
      </c>
      <c r="B110" s="5" t="s">
        <v>236</v>
      </c>
      <c r="C110" s="5" t="s">
        <v>13</v>
      </c>
      <c r="D110" s="5" t="s">
        <v>15</v>
      </c>
      <c r="E110" s="7">
        <v>9695</v>
      </c>
      <c r="F110" s="4" t="s">
        <v>241</v>
      </c>
      <c r="G110" s="6">
        <v>213</v>
      </c>
      <c r="H110" s="6">
        <v>213</v>
      </c>
      <c r="I110" s="6">
        <v>213</v>
      </c>
      <c r="J110" s="6">
        <v>639</v>
      </c>
      <c r="K110" s="6">
        <v>213</v>
      </c>
      <c r="L110" s="6">
        <v>213</v>
      </c>
      <c r="M110" s="6">
        <v>213</v>
      </c>
      <c r="N110" s="6">
        <v>639</v>
      </c>
      <c r="O110" s="6">
        <v>213</v>
      </c>
      <c r="P110" s="6">
        <v>213</v>
      </c>
      <c r="Q110" s="6">
        <v>213</v>
      </c>
      <c r="R110" s="6">
        <v>639</v>
      </c>
      <c r="S110" s="6">
        <v>213</v>
      </c>
      <c r="T110" s="6">
        <v>213</v>
      </c>
      <c r="U110" s="6">
        <v>213</v>
      </c>
      <c r="V110" s="6">
        <v>639</v>
      </c>
      <c r="W110" s="6">
        <v>213</v>
      </c>
      <c r="X110" s="6">
        <v>213</v>
      </c>
      <c r="Y110" s="6">
        <v>213</v>
      </c>
      <c r="Z110" s="6">
        <v>639</v>
      </c>
      <c r="AA110" s="4">
        <v>639</v>
      </c>
      <c r="AB110" s="25">
        <v>1065</v>
      </c>
      <c r="AC110" s="25">
        <v>1539</v>
      </c>
      <c r="AD110" s="25">
        <v>1065</v>
      </c>
      <c r="AE110">
        <v>5751</v>
      </c>
      <c r="AF110" t="s">
        <v>199</v>
      </c>
      <c r="AG110" t="s">
        <v>198</v>
      </c>
      <c r="AH110" s="33">
        <v>0.59498352684147171</v>
      </c>
      <c r="AI110" s="12">
        <v>0</v>
      </c>
      <c r="AJ110">
        <v>0</v>
      </c>
      <c r="AK110">
        <v>0</v>
      </c>
    </row>
    <row r="111" spans="1:37" ht="15.75" x14ac:dyDescent="0.25">
      <c r="A111" s="4">
        <v>110</v>
      </c>
      <c r="B111" s="5" t="s">
        <v>236</v>
      </c>
      <c r="C111" s="5" t="s">
        <v>13</v>
      </c>
      <c r="D111" s="5" t="s">
        <v>16</v>
      </c>
      <c r="E111" s="7">
        <v>15024</v>
      </c>
      <c r="F111" s="4" t="s">
        <v>240</v>
      </c>
      <c r="G111" s="6">
        <v>687</v>
      </c>
      <c r="H111" s="6">
        <v>687</v>
      </c>
      <c r="I111" s="6">
        <v>687</v>
      </c>
      <c r="J111" s="6">
        <v>2061</v>
      </c>
      <c r="K111" s="6">
        <v>687</v>
      </c>
      <c r="L111" s="6">
        <v>687</v>
      </c>
      <c r="M111" s="6">
        <v>687</v>
      </c>
      <c r="N111" s="6">
        <v>2061</v>
      </c>
      <c r="O111" s="6">
        <v>687</v>
      </c>
      <c r="P111" s="6">
        <v>687</v>
      </c>
      <c r="Q111" s="6">
        <v>687</v>
      </c>
      <c r="R111" s="6">
        <v>2061</v>
      </c>
      <c r="S111" s="6">
        <v>687</v>
      </c>
      <c r="T111" s="6">
        <v>687</v>
      </c>
      <c r="U111" s="6">
        <v>687</v>
      </c>
      <c r="V111" s="6">
        <v>2061</v>
      </c>
      <c r="W111" s="6">
        <v>687</v>
      </c>
      <c r="X111" s="6">
        <v>687</v>
      </c>
      <c r="Y111" s="6">
        <v>687</v>
      </c>
      <c r="Z111" s="6">
        <v>2061</v>
      </c>
      <c r="AA111" s="4">
        <v>2061</v>
      </c>
      <c r="AB111" s="25">
        <v>3435</v>
      </c>
      <c r="AC111" s="25">
        <v>2981</v>
      </c>
      <c r="AD111" s="25">
        <v>3435</v>
      </c>
      <c r="AE111">
        <v>18549</v>
      </c>
      <c r="AF111" t="s">
        <v>198</v>
      </c>
      <c r="AG111" t="s">
        <v>198</v>
      </c>
      <c r="AH111" s="33">
        <v>0.85148665214897723</v>
      </c>
      <c r="AI111" s="12">
        <v>0</v>
      </c>
      <c r="AJ111">
        <v>0</v>
      </c>
      <c r="AK111">
        <v>0</v>
      </c>
    </row>
    <row r="112" spans="1:37" ht="15.75" x14ac:dyDescent="0.25">
      <c r="A112" s="4">
        <v>111</v>
      </c>
      <c r="B112" s="5" t="s">
        <v>236</v>
      </c>
      <c r="C112" s="5" t="s">
        <v>13</v>
      </c>
      <c r="D112" s="5" t="s">
        <v>16</v>
      </c>
      <c r="E112" s="7">
        <v>7946</v>
      </c>
      <c r="F112" s="4" t="s">
        <v>241</v>
      </c>
      <c r="G112" s="6">
        <v>233</v>
      </c>
      <c r="H112" s="6">
        <v>233</v>
      </c>
      <c r="I112" s="6">
        <v>233</v>
      </c>
      <c r="J112" s="6">
        <v>699</v>
      </c>
      <c r="K112" s="6">
        <v>233</v>
      </c>
      <c r="L112" s="6">
        <v>233</v>
      </c>
      <c r="M112" s="6">
        <v>233</v>
      </c>
      <c r="N112" s="6">
        <v>699</v>
      </c>
      <c r="O112" s="6">
        <v>233</v>
      </c>
      <c r="P112" s="6">
        <v>233</v>
      </c>
      <c r="Q112" s="6">
        <v>233</v>
      </c>
      <c r="R112" s="6">
        <v>699</v>
      </c>
      <c r="S112" s="6">
        <v>233</v>
      </c>
      <c r="T112" s="6">
        <v>233</v>
      </c>
      <c r="U112" s="6">
        <v>233</v>
      </c>
      <c r="V112" s="6">
        <v>699</v>
      </c>
      <c r="W112" s="6">
        <v>233</v>
      </c>
      <c r="X112" s="6">
        <v>233</v>
      </c>
      <c r="Y112" s="6">
        <v>233</v>
      </c>
      <c r="Z112" s="6">
        <v>699</v>
      </c>
      <c r="AA112" s="4">
        <v>699</v>
      </c>
      <c r="AB112" s="25">
        <v>1165</v>
      </c>
      <c r="AC112" s="25">
        <v>1155</v>
      </c>
      <c r="AD112" s="25">
        <v>1165</v>
      </c>
      <c r="AE112">
        <v>6291</v>
      </c>
      <c r="AF112" t="s">
        <v>199</v>
      </c>
      <c r="AG112" t="s">
        <v>199</v>
      </c>
      <c r="AH112" s="33">
        <v>0.20184648915780223</v>
      </c>
      <c r="AI112" s="12">
        <v>2.0467583739436187E-2</v>
      </c>
      <c r="AJ112">
        <v>0</v>
      </c>
      <c r="AK112">
        <v>0</v>
      </c>
    </row>
    <row r="113" spans="1:37" ht="15.75" x14ac:dyDescent="0.25">
      <c r="A113" s="4">
        <v>112</v>
      </c>
      <c r="B113" s="5" t="s">
        <v>236</v>
      </c>
      <c r="C113" s="5" t="s">
        <v>13</v>
      </c>
      <c r="D113" s="5" t="s">
        <v>17</v>
      </c>
      <c r="E113" s="7">
        <v>7948</v>
      </c>
      <c r="F113" s="4" t="s">
        <v>240</v>
      </c>
      <c r="G113" s="6">
        <v>223</v>
      </c>
      <c r="H113" s="6">
        <v>223</v>
      </c>
      <c r="I113" s="6">
        <v>223</v>
      </c>
      <c r="J113" s="6">
        <v>669</v>
      </c>
      <c r="K113" s="6">
        <v>223</v>
      </c>
      <c r="L113" s="6">
        <v>223</v>
      </c>
      <c r="M113" s="6">
        <v>223</v>
      </c>
      <c r="N113" s="6">
        <v>669</v>
      </c>
      <c r="O113" s="6">
        <v>223</v>
      </c>
      <c r="P113" s="6">
        <v>223</v>
      </c>
      <c r="Q113" s="6">
        <v>223</v>
      </c>
      <c r="R113" s="6">
        <v>669</v>
      </c>
      <c r="S113" s="6">
        <v>223</v>
      </c>
      <c r="T113" s="6">
        <v>223</v>
      </c>
      <c r="U113" s="6">
        <v>223</v>
      </c>
      <c r="V113" s="6">
        <v>669</v>
      </c>
      <c r="W113" s="6">
        <v>223</v>
      </c>
      <c r="X113" s="6">
        <v>223</v>
      </c>
      <c r="Y113" s="6">
        <v>223</v>
      </c>
      <c r="Z113" s="6">
        <v>669</v>
      </c>
      <c r="AA113" s="4">
        <v>669</v>
      </c>
      <c r="AB113" s="25">
        <v>1115</v>
      </c>
      <c r="AC113" s="25">
        <v>1579</v>
      </c>
      <c r="AD113" s="25">
        <v>1115</v>
      </c>
      <c r="AE113">
        <v>6021</v>
      </c>
      <c r="AF113" t="s">
        <v>198</v>
      </c>
      <c r="AG113" t="s">
        <v>198</v>
      </c>
      <c r="AH113" s="33">
        <v>7.8594498670754298E-3</v>
      </c>
      <c r="AI113" s="12">
        <v>0</v>
      </c>
      <c r="AJ113">
        <v>0</v>
      </c>
      <c r="AK113">
        <v>0</v>
      </c>
    </row>
    <row r="114" spans="1:37" ht="15.75" x14ac:dyDescent="0.25">
      <c r="A114" s="4">
        <v>113</v>
      </c>
      <c r="B114" s="5" t="s">
        <v>236</v>
      </c>
      <c r="C114" s="5" t="s">
        <v>13</v>
      </c>
      <c r="D114" s="5" t="s">
        <v>18</v>
      </c>
      <c r="E114" s="7">
        <v>7943</v>
      </c>
      <c r="F114" s="4" t="s">
        <v>240</v>
      </c>
      <c r="G114" s="6">
        <v>687</v>
      </c>
      <c r="H114" s="6">
        <v>687</v>
      </c>
      <c r="I114" s="6">
        <v>687</v>
      </c>
      <c r="J114" s="6">
        <v>2061</v>
      </c>
      <c r="K114" s="6">
        <v>687</v>
      </c>
      <c r="L114" s="6">
        <v>687</v>
      </c>
      <c r="M114" s="6">
        <v>687</v>
      </c>
      <c r="N114" s="6">
        <v>2061</v>
      </c>
      <c r="O114" s="6">
        <v>687</v>
      </c>
      <c r="P114" s="6">
        <v>687</v>
      </c>
      <c r="Q114" s="6">
        <v>687</v>
      </c>
      <c r="R114" s="6">
        <v>2061</v>
      </c>
      <c r="S114" s="6">
        <v>687</v>
      </c>
      <c r="T114" s="6">
        <v>687</v>
      </c>
      <c r="U114" s="6">
        <v>687</v>
      </c>
      <c r="V114" s="6">
        <v>2061</v>
      </c>
      <c r="W114" s="6">
        <v>687</v>
      </c>
      <c r="X114" s="6">
        <v>687</v>
      </c>
      <c r="Y114" s="6">
        <v>687</v>
      </c>
      <c r="Z114" s="6">
        <v>2061</v>
      </c>
      <c r="AA114" s="4">
        <v>2061</v>
      </c>
      <c r="AB114" s="25">
        <v>3435</v>
      </c>
      <c r="AC114" s="25">
        <v>3122</v>
      </c>
      <c r="AD114" s="25">
        <v>3435</v>
      </c>
      <c r="AE114">
        <v>18549</v>
      </c>
      <c r="AF114" t="s">
        <v>198</v>
      </c>
      <c r="AG114" t="s">
        <v>198</v>
      </c>
      <c r="AH114" s="33">
        <v>0.98919987806988718</v>
      </c>
      <c r="AI114" s="12">
        <v>0</v>
      </c>
      <c r="AJ114">
        <v>0</v>
      </c>
      <c r="AK114">
        <v>0</v>
      </c>
    </row>
    <row r="115" spans="1:37" ht="15.75" x14ac:dyDescent="0.25">
      <c r="A115" s="4">
        <v>114</v>
      </c>
      <c r="B115" s="5" t="s">
        <v>236</v>
      </c>
      <c r="C115" s="5" t="s">
        <v>13</v>
      </c>
      <c r="D115" s="5" t="s">
        <v>19</v>
      </c>
      <c r="E115" s="7">
        <v>7950</v>
      </c>
      <c r="F115" s="4" t="s">
        <v>241</v>
      </c>
      <c r="G115" s="6">
        <v>374</v>
      </c>
      <c r="H115" s="6">
        <v>374</v>
      </c>
      <c r="I115" s="6">
        <v>374</v>
      </c>
      <c r="J115" s="6">
        <v>1122</v>
      </c>
      <c r="K115" s="6">
        <v>374</v>
      </c>
      <c r="L115" s="6">
        <v>374</v>
      </c>
      <c r="M115" s="6">
        <v>374</v>
      </c>
      <c r="N115" s="6">
        <v>1122</v>
      </c>
      <c r="O115" s="6">
        <v>374</v>
      </c>
      <c r="P115" s="6">
        <v>374</v>
      </c>
      <c r="Q115" s="6">
        <v>374</v>
      </c>
      <c r="R115" s="6">
        <v>1122</v>
      </c>
      <c r="S115" s="6">
        <v>374</v>
      </c>
      <c r="T115" s="6">
        <v>374</v>
      </c>
      <c r="U115" s="6">
        <v>374</v>
      </c>
      <c r="V115" s="6">
        <v>1122</v>
      </c>
      <c r="W115" s="6">
        <v>374</v>
      </c>
      <c r="X115" s="6">
        <v>374</v>
      </c>
      <c r="Y115" s="6">
        <v>374</v>
      </c>
      <c r="Z115" s="6">
        <v>1122</v>
      </c>
      <c r="AA115" s="4">
        <v>1122</v>
      </c>
      <c r="AB115" s="25">
        <v>1870</v>
      </c>
      <c r="AC115" s="25">
        <v>1840</v>
      </c>
      <c r="AD115" s="25">
        <v>1870</v>
      </c>
      <c r="AE115">
        <v>10098</v>
      </c>
      <c r="AF115" t="s">
        <v>198</v>
      </c>
      <c r="AG115" t="s">
        <v>198</v>
      </c>
      <c r="AH115" s="33">
        <v>0.35733020968393014</v>
      </c>
      <c r="AI115" s="12">
        <v>0</v>
      </c>
      <c r="AJ115">
        <v>0</v>
      </c>
      <c r="AK115">
        <v>0</v>
      </c>
    </row>
    <row r="116" spans="1:37" ht="15.75" x14ac:dyDescent="0.25">
      <c r="A116" s="4">
        <v>115</v>
      </c>
      <c r="B116" s="5" t="s">
        <v>236</v>
      </c>
      <c r="C116" s="5" t="s">
        <v>13</v>
      </c>
      <c r="D116" s="5" t="s">
        <v>19</v>
      </c>
      <c r="E116" s="7">
        <v>11395</v>
      </c>
      <c r="F116" s="4" t="s">
        <v>241</v>
      </c>
      <c r="G116" s="6">
        <v>344</v>
      </c>
      <c r="H116" s="6">
        <v>344</v>
      </c>
      <c r="I116" s="6">
        <v>344</v>
      </c>
      <c r="J116" s="6">
        <v>1032</v>
      </c>
      <c r="K116" s="6">
        <v>344</v>
      </c>
      <c r="L116" s="6">
        <v>344</v>
      </c>
      <c r="M116" s="6">
        <v>344</v>
      </c>
      <c r="N116" s="6">
        <v>1032</v>
      </c>
      <c r="O116" s="6">
        <v>344</v>
      </c>
      <c r="P116" s="6">
        <v>344</v>
      </c>
      <c r="Q116" s="6">
        <v>344</v>
      </c>
      <c r="R116" s="6">
        <v>1032</v>
      </c>
      <c r="S116" s="6">
        <v>344</v>
      </c>
      <c r="T116" s="6">
        <v>344</v>
      </c>
      <c r="U116" s="6">
        <v>344</v>
      </c>
      <c r="V116" s="6">
        <v>1032</v>
      </c>
      <c r="W116" s="6">
        <v>344</v>
      </c>
      <c r="X116" s="6">
        <v>344</v>
      </c>
      <c r="Y116" s="6">
        <v>344</v>
      </c>
      <c r="Z116" s="6">
        <v>1032</v>
      </c>
      <c r="AA116" s="4">
        <v>1032</v>
      </c>
      <c r="AB116" s="25">
        <v>1720</v>
      </c>
      <c r="AC116" s="25">
        <v>2508</v>
      </c>
      <c r="AD116" s="25">
        <v>1720</v>
      </c>
      <c r="AE116">
        <v>9288</v>
      </c>
      <c r="AF116" t="s">
        <v>199</v>
      </c>
      <c r="AG116" t="s">
        <v>198</v>
      </c>
      <c r="AH116" s="33">
        <v>3.5268317591630072E-2</v>
      </c>
      <c r="AI116" s="12">
        <v>0</v>
      </c>
      <c r="AJ116">
        <v>0</v>
      </c>
      <c r="AK116">
        <v>0</v>
      </c>
    </row>
    <row r="117" spans="1:37" ht="15.75" x14ac:dyDescent="0.25">
      <c r="A117" s="4">
        <v>116</v>
      </c>
      <c r="B117" t="s">
        <v>236</v>
      </c>
      <c r="C117" s="5" t="s">
        <v>13</v>
      </c>
      <c r="D117" s="5" t="s">
        <v>19</v>
      </c>
      <c r="E117" s="7">
        <v>7976</v>
      </c>
      <c r="F117" s="4" t="s">
        <v>240</v>
      </c>
      <c r="G117" s="6">
        <v>1132</v>
      </c>
      <c r="H117" s="6">
        <v>1132</v>
      </c>
      <c r="I117" s="6">
        <v>1132</v>
      </c>
      <c r="J117" s="6">
        <v>3396</v>
      </c>
      <c r="K117" s="6">
        <v>1132</v>
      </c>
      <c r="L117" s="6">
        <v>1132</v>
      </c>
      <c r="M117" s="6">
        <v>1132</v>
      </c>
      <c r="N117" s="6">
        <v>3396</v>
      </c>
      <c r="O117" s="6">
        <v>1132</v>
      </c>
      <c r="P117" s="6">
        <v>1132</v>
      </c>
      <c r="Q117" s="6">
        <v>1132</v>
      </c>
      <c r="R117" s="6">
        <v>3396</v>
      </c>
      <c r="S117" s="6">
        <v>1132</v>
      </c>
      <c r="T117" s="6">
        <v>1132</v>
      </c>
      <c r="U117" s="6">
        <v>1132</v>
      </c>
      <c r="V117" s="6">
        <v>3396</v>
      </c>
      <c r="W117" s="6">
        <v>1132</v>
      </c>
      <c r="X117" s="6">
        <v>1132</v>
      </c>
      <c r="Y117" s="6">
        <v>1132</v>
      </c>
      <c r="Z117" s="6">
        <v>3396</v>
      </c>
      <c r="AA117" s="4">
        <v>3396</v>
      </c>
      <c r="AB117" s="25">
        <v>5660</v>
      </c>
      <c r="AC117" s="25">
        <v>4751</v>
      </c>
      <c r="AD117" s="25">
        <v>5660</v>
      </c>
      <c r="AE117">
        <v>30564</v>
      </c>
      <c r="AF117" t="s">
        <v>199</v>
      </c>
      <c r="AG117" t="s">
        <v>198</v>
      </c>
      <c r="AH117" s="33">
        <v>0.16303874775647564</v>
      </c>
      <c r="AI117" s="12">
        <v>0</v>
      </c>
      <c r="AJ117">
        <v>0</v>
      </c>
      <c r="AK117">
        <v>0</v>
      </c>
    </row>
    <row r="118" spans="1:37" ht="15.75" x14ac:dyDescent="0.25">
      <c r="A118" s="4">
        <v>117</v>
      </c>
      <c r="B118" t="s">
        <v>236</v>
      </c>
      <c r="C118" s="5" t="s">
        <v>13</v>
      </c>
      <c r="D118" s="5" t="s">
        <v>19</v>
      </c>
      <c r="E118" s="7">
        <v>38758</v>
      </c>
      <c r="F118" s="4" t="s">
        <v>241</v>
      </c>
      <c r="G118" s="6">
        <v>223</v>
      </c>
      <c r="H118" s="6">
        <v>223</v>
      </c>
      <c r="I118" s="6">
        <v>223</v>
      </c>
      <c r="J118" s="6">
        <v>669</v>
      </c>
      <c r="K118" s="6">
        <v>223</v>
      </c>
      <c r="L118" s="6">
        <v>223</v>
      </c>
      <c r="M118" s="6">
        <v>223</v>
      </c>
      <c r="N118" s="6">
        <v>669</v>
      </c>
      <c r="O118" s="6">
        <v>223</v>
      </c>
      <c r="P118" s="6">
        <v>223</v>
      </c>
      <c r="Q118" s="6">
        <v>223</v>
      </c>
      <c r="R118" s="6">
        <v>669</v>
      </c>
      <c r="S118" s="6">
        <v>223</v>
      </c>
      <c r="T118" s="6">
        <v>223</v>
      </c>
      <c r="U118" s="6">
        <v>223</v>
      </c>
      <c r="V118" s="6">
        <v>669</v>
      </c>
      <c r="W118" s="6">
        <v>223</v>
      </c>
      <c r="X118" s="6">
        <v>223</v>
      </c>
      <c r="Y118" s="6">
        <v>223</v>
      </c>
      <c r="Z118" s="6">
        <v>669</v>
      </c>
      <c r="AA118" s="4">
        <v>669</v>
      </c>
      <c r="AB118" s="25">
        <v>1115</v>
      </c>
      <c r="AC118" s="25">
        <v>1242</v>
      </c>
      <c r="AD118" s="25">
        <v>1115</v>
      </c>
      <c r="AE118">
        <v>6021</v>
      </c>
      <c r="AF118" t="s">
        <v>199</v>
      </c>
      <c r="AG118" t="s">
        <v>198</v>
      </c>
      <c r="AH118" s="33">
        <v>0.60155364992567872</v>
      </c>
      <c r="AI118" s="12">
        <v>2.0057306590257881E-2</v>
      </c>
      <c r="AJ118">
        <v>0</v>
      </c>
      <c r="AK118">
        <v>0</v>
      </c>
    </row>
    <row r="119" spans="1:37" ht="15.75" x14ac:dyDescent="0.25">
      <c r="A119" s="4">
        <v>118</v>
      </c>
      <c r="B119" t="s">
        <v>236</v>
      </c>
      <c r="C119" s="5" t="s">
        <v>13</v>
      </c>
      <c r="D119" s="5" t="s">
        <v>19</v>
      </c>
      <c r="E119" s="7">
        <v>27386</v>
      </c>
      <c r="F119" s="4" t="s">
        <v>241</v>
      </c>
      <c r="G119" s="6">
        <v>350</v>
      </c>
      <c r="H119" s="6">
        <v>350</v>
      </c>
      <c r="I119" s="6">
        <v>350</v>
      </c>
      <c r="J119" s="6">
        <v>1050</v>
      </c>
      <c r="K119" s="6">
        <v>350</v>
      </c>
      <c r="L119" s="6">
        <v>350</v>
      </c>
      <c r="M119" s="6">
        <v>350</v>
      </c>
      <c r="N119" s="6">
        <v>1050</v>
      </c>
      <c r="O119" s="6">
        <v>350</v>
      </c>
      <c r="P119" s="6">
        <v>350</v>
      </c>
      <c r="Q119" s="6">
        <v>350</v>
      </c>
      <c r="R119" s="6">
        <v>1050</v>
      </c>
      <c r="S119" s="6">
        <v>350</v>
      </c>
      <c r="T119" s="6">
        <v>350</v>
      </c>
      <c r="U119" s="6">
        <v>350</v>
      </c>
      <c r="V119" s="6">
        <v>1050</v>
      </c>
      <c r="W119" s="6">
        <v>350</v>
      </c>
      <c r="X119" s="6">
        <v>350</v>
      </c>
      <c r="Y119" s="6">
        <v>350</v>
      </c>
      <c r="Z119" s="6">
        <v>1050</v>
      </c>
      <c r="AA119" s="4">
        <v>1050</v>
      </c>
      <c r="AB119" s="25">
        <v>1750</v>
      </c>
      <c r="AC119" s="25">
        <v>1852</v>
      </c>
      <c r="AD119" s="25">
        <v>1750</v>
      </c>
      <c r="AE119">
        <v>9450</v>
      </c>
      <c r="AF119" t="s">
        <v>198</v>
      </c>
      <c r="AG119" t="s">
        <v>198</v>
      </c>
      <c r="AH119" s="33">
        <v>0.37716647335532716</v>
      </c>
      <c r="AI119" s="12">
        <v>9.9147121535181237E-2</v>
      </c>
      <c r="AJ119">
        <v>0</v>
      </c>
      <c r="AK119">
        <v>0</v>
      </c>
    </row>
    <row r="120" spans="1:37" ht="15.75" x14ac:dyDescent="0.25">
      <c r="A120" s="4">
        <v>119</v>
      </c>
      <c r="B120" t="s">
        <v>238</v>
      </c>
      <c r="C120" s="5" t="s">
        <v>124</v>
      </c>
      <c r="D120" s="5" t="s">
        <v>125</v>
      </c>
      <c r="E120" s="7">
        <v>8017</v>
      </c>
      <c r="F120" s="4" t="s">
        <v>240</v>
      </c>
      <c r="G120" s="6">
        <v>452</v>
      </c>
      <c r="H120" s="6">
        <v>452</v>
      </c>
      <c r="I120" s="6">
        <v>452</v>
      </c>
      <c r="J120" s="6">
        <v>1356</v>
      </c>
      <c r="K120" s="6">
        <v>452</v>
      </c>
      <c r="L120" s="6">
        <v>452</v>
      </c>
      <c r="M120" s="6">
        <v>452</v>
      </c>
      <c r="N120" s="6">
        <v>1356</v>
      </c>
      <c r="O120" s="6">
        <v>452</v>
      </c>
      <c r="P120" s="6">
        <v>452</v>
      </c>
      <c r="Q120" s="6">
        <v>452</v>
      </c>
      <c r="R120" s="6">
        <v>1356</v>
      </c>
      <c r="S120" s="6">
        <v>452</v>
      </c>
      <c r="T120" s="6">
        <v>452</v>
      </c>
      <c r="U120" s="6">
        <v>452</v>
      </c>
      <c r="V120" s="6">
        <v>1356</v>
      </c>
      <c r="W120" s="6">
        <v>452</v>
      </c>
      <c r="X120" s="6">
        <v>452</v>
      </c>
      <c r="Y120" s="6">
        <v>452</v>
      </c>
      <c r="Z120" s="6">
        <v>1356</v>
      </c>
      <c r="AA120" s="4">
        <v>1356</v>
      </c>
      <c r="AB120" s="25">
        <v>2260</v>
      </c>
      <c r="AC120" s="25">
        <v>2041</v>
      </c>
      <c r="AD120" s="25">
        <v>2260</v>
      </c>
      <c r="AE120">
        <v>12204</v>
      </c>
      <c r="AF120" t="s">
        <v>198</v>
      </c>
      <c r="AG120" t="s">
        <v>198</v>
      </c>
      <c r="AH120" s="33">
        <v>9.4495045399823341E-2</v>
      </c>
      <c r="AI120" s="12">
        <v>0</v>
      </c>
      <c r="AJ120">
        <v>0</v>
      </c>
      <c r="AK120">
        <v>0</v>
      </c>
    </row>
    <row r="121" spans="1:37" ht="15.75" x14ac:dyDescent="0.25">
      <c r="A121" s="4">
        <v>120</v>
      </c>
      <c r="B121" t="s">
        <v>238</v>
      </c>
      <c r="C121" s="5" t="s">
        <v>124</v>
      </c>
      <c r="D121" s="5" t="s">
        <v>126</v>
      </c>
      <c r="E121" s="7">
        <v>926</v>
      </c>
      <c r="F121" s="4" t="s">
        <v>240</v>
      </c>
      <c r="G121" s="6">
        <v>233</v>
      </c>
      <c r="H121" s="6">
        <v>233</v>
      </c>
      <c r="I121" s="6">
        <v>233</v>
      </c>
      <c r="J121" s="6">
        <v>699</v>
      </c>
      <c r="K121" s="6">
        <v>233</v>
      </c>
      <c r="L121" s="6">
        <v>233</v>
      </c>
      <c r="M121" s="6">
        <v>233</v>
      </c>
      <c r="N121" s="6">
        <v>699</v>
      </c>
      <c r="O121" s="6">
        <v>233</v>
      </c>
      <c r="P121" s="6">
        <v>233</v>
      </c>
      <c r="Q121" s="6">
        <v>233</v>
      </c>
      <c r="R121" s="6">
        <v>699</v>
      </c>
      <c r="S121" s="6">
        <v>233</v>
      </c>
      <c r="T121" s="6">
        <v>233</v>
      </c>
      <c r="U121" s="6">
        <v>233</v>
      </c>
      <c r="V121" s="6">
        <v>699</v>
      </c>
      <c r="W121" s="6">
        <v>233</v>
      </c>
      <c r="X121" s="6">
        <v>233</v>
      </c>
      <c r="Y121" s="6">
        <v>233</v>
      </c>
      <c r="Z121" s="6">
        <v>699</v>
      </c>
      <c r="AA121" s="4">
        <v>699</v>
      </c>
      <c r="AB121" s="25">
        <v>1165</v>
      </c>
      <c r="AC121" s="25">
        <v>1163</v>
      </c>
      <c r="AD121" s="25">
        <v>1165</v>
      </c>
      <c r="AE121">
        <v>6291</v>
      </c>
      <c r="AF121" t="s">
        <v>198</v>
      </c>
      <c r="AG121" t="s">
        <v>198</v>
      </c>
      <c r="AH121" s="33">
        <v>0.84397338847116876</v>
      </c>
      <c r="AI121" s="12">
        <v>8.0235244696492333E-2</v>
      </c>
      <c r="AJ121">
        <v>0</v>
      </c>
      <c r="AK121">
        <v>0</v>
      </c>
    </row>
    <row r="122" spans="1:37" ht="15.75" x14ac:dyDescent="0.25">
      <c r="A122" s="4">
        <v>121</v>
      </c>
      <c r="B122" t="s">
        <v>238</v>
      </c>
      <c r="C122" s="5" t="s">
        <v>124</v>
      </c>
      <c r="D122" s="5" t="s">
        <v>126</v>
      </c>
      <c r="E122" s="7">
        <v>26445</v>
      </c>
      <c r="F122" s="4" t="s">
        <v>241</v>
      </c>
      <c r="G122" s="6">
        <v>231</v>
      </c>
      <c r="H122" s="6">
        <v>231</v>
      </c>
      <c r="I122" s="6">
        <v>231</v>
      </c>
      <c r="J122" s="6">
        <v>693</v>
      </c>
      <c r="K122" s="6">
        <v>231</v>
      </c>
      <c r="L122" s="6">
        <v>231</v>
      </c>
      <c r="M122" s="6">
        <v>231</v>
      </c>
      <c r="N122" s="6">
        <v>693</v>
      </c>
      <c r="O122" s="6">
        <v>231</v>
      </c>
      <c r="P122" s="6">
        <v>231</v>
      </c>
      <c r="Q122" s="6">
        <v>231</v>
      </c>
      <c r="R122" s="6">
        <v>693</v>
      </c>
      <c r="S122" s="6">
        <v>231</v>
      </c>
      <c r="T122" s="6">
        <v>231</v>
      </c>
      <c r="U122" s="6">
        <v>231</v>
      </c>
      <c r="V122" s="6">
        <v>693</v>
      </c>
      <c r="W122" s="6">
        <v>231</v>
      </c>
      <c r="X122" s="6">
        <v>231</v>
      </c>
      <c r="Y122" s="6">
        <v>231</v>
      </c>
      <c r="Z122" s="6">
        <v>693</v>
      </c>
      <c r="AA122" s="4">
        <v>693</v>
      </c>
      <c r="AB122" s="25">
        <v>1155</v>
      </c>
      <c r="AC122" s="25">
        <v>1028</v>
      </c>
      <c r="AD122" s="25">
        <v>1155</v>
      </c>
      <c r="AE122">
        <v>6237</v>
      </c>
      <c r="AF122" t="s">
        <v>199</v>
      </c>
      <c r="AG122" t="s">
        <v>198</v>
      </c>
      <c r="AH122" s="33">
        <v>0.64326131432884359</v>
      </c>
      <c r="AI122" s="12" t="e">
        <v>#N/A</v>
      </c>
      <c r="AJ122">
        <v>0</v>
      </c>
      <c r="AK122">
        <v>0</v>
      </c>
    </row>
    <row r="123" spans="1:37" ht="15.75" x14ac:dyDescent="0.25">
      <c r="A123" s="4">
        <v>122</v>
      </c>
      <c r="B123" t="s">
        <v>238</v>
      </c>
      <c r="C123" s="5" t="s">
        <v>124</v>
      </c>
      <c r="D123" s="5" t="s">
        <v>127</v>
      </c>
      <c r="E123" s="7">
        <v>26433</v>
      </c>
      <c r="F123" s="4" t="s">
        <v>241</v>
      </c>
      <c r="G123" s="6">
        <v>104</v>
      </c>
      <c r="H123" s="6">
        <v>104</v>
      </c>
      <c r="I123" s="6">
        <v>104</v>
      </c>
      <c r="J123" s="6">
        <v>312</v>
      </c>
      <c r="K123" s="6">
        <v>104</v>
      </c>
      <c r="L123" s="6">
        <v>104</v>
      </c>
      <c r="M123" s="6">
        <v>104</v>
      </c>
      <c r="N123" s="6">
        <v>312</v>
      </c>
      <c r="O123" s="6">
        <v>104</v>
      </c>
      <c r="P123" s="6">
        <v>104</v>
      </c>
      <c r="Q123" s="6">
        <v>104</v>
      </c>
      <c r="R123" s="6">
        <v>312</v>
      </c>
      <c r="S123" s="6">
        <v>104</v>
      </c>
      <c r="T123" s="6">
        <v>104</v>
      </c>
      <c r="U123" s="6">
        <v>104</v>
      </c>
      <c r="V123" s="6">
        <v>312</v>
      </c>
      <c r="W123" s="6">
        <v>104</v>
      </c>
      <c r="X123" s="6">
        <v>104</v>
      </c>
      <c r="Y123" s="6">
        <v>104</v>
      </c>
      <c r="Z123" s="6">
        <v>312</v>
      </c>
      <c r="AA123" s="4">
        <v>312</v>
      </c>
      <c r="AB123" s="25">
        <v>520</v>
      </c>
      <c r="AC123" s="25">
        <v>1069</v>
      </c>
      <c r="AD123" s="25">
        <v>520</v>
      </c>
      <c r="AE123">
        <v>2808</v>
      </c>
      <c r="AF123" t="s">
        <v>199</v>
      </c>
      <c r="AG123" t="s">
        <v>198</v>
      </c>
      <c r="AH123" s="33">
        <v>7.7626639627903615E-2</v>
      </c>
      <c r="AI123" s="12" t="e">
        <v>#N/A</v>
      </c>
      <c r="AJ123">
        <v>0</v>
      </c>
      <c r="AK123">
        <v>0</v>
      </c>
    </row>
    <row r="124" spans="1:37" ht="15.75" x14ac:dyDescent="0.25">
      <c r="A124" s="4">
        <v>123</v>
      </c>
      <c r="B124" t="s">
        <v>238</v>
      </c>
      <c r="C124" s="5" t="s">
        <v>124</v>
      </c>
      <c r="D124" s="5" t="s">
        <v>128</v>
      </c>
      <c r="E124" s="30">
        <v>33405</v>
      </c>
      <c r="F124" s="4" t="s">
        <v>240</v>
      </c>
      <c r="G124" s="6">
        <v>653</v>
      </c>
      <c r="H124" s="6">
        <v>653</v>
      </c>
      <c r="I124" s="6">
        <v>653</v>
      </c>
      <c r="J124" s="6">
        <v>1959</v>
      </c>
      <c r="K124" s="6">
        <v>653</v>
      </c>
      <c r="L124" s="6">
        <v>653</v>
      </c>
      <c r="M124" s="6">
        <v>653</v>
      </c>
      <c r="N124" s="6">
        <v>1959</v>
      </c>
      <c r="O124" s="6">
        <v>653</v>
      </c>
      <c r="P124" s="6">
        <v>653</v>
      </c>
      <c r="Q124" s="6">
        <v>653</v>
      </c>
      <c r="R124" s="6">
        <v>1959</v>
      </c>
      <c r="S124" s="6">
        <v>653</v>
      </c>
      <c r="T124" s="6">
        <v>653</v>
      </c>
      <c r="U124" s="6">
        <v>653</v>
      </c>
      <c r="V124" s="6">
        <v>1959</v>
      </c>
      <c r="W124" s="6">
        <v>653</v>
      </c>
      <c r="X124" s="6">
        <v>653</v>
      </c>
      <c r="Y124" s="6">
        <v>653</v>
      </c>
      <c r="Z124" s="6">
        <v>1959</v>
      </c>
      <c r="AA124" s="4">
        <v>1959</v>
      </c>
      <c r="AB124" s="25">
        <v>3265</v>
      </c>
      <c r="AC124" s="25">
        <v>3071</v>
      </c>
      <c r="AD124" s="25">
        <v>3265</v>
      </c>
      <c r="AE124">
        <v>17631</v>
      </c>
      <c r="AF124" t="s">
        <v>199</v>
      </c>
      <c r="AG124" t="s">
        <v>198</v>
      </c>
      <c r="AH124" s="33">
        <v>0.97273034813097237</v>
      </c>
      <c r="AI124" s="12">
        <v>0</v>
      </c>
      <c r="AJ124">
        <v>0</v>
      </c>
      <c r="AK124">
        <v>0</v>
      </c>
    </row>
    <row r="125" spans="1:37" ht="15.75" x14ac:dyDescent="0.25">
      <c r="A125" s="4">
        <v>124</v>
      </c>
      <c r="B125" t="s">
        <v>238</v>
      </c>
      <c r="C125" s="5" t="s">
        <v>124</v>
      </c>
      <c r="D125" s="5" t="s">
        <v>129</v>
      </c>
      <c r="E125" s="7">
        <v>28910</v>
      </c>
      <c r="F125" s="4" t="s">
        <v>241</v>
      </c>
      <c r="G125" s="6">
        <v>459</v>
      </c>
      <c r="H125" s="6">
        <v>459</v>
      </c>
      <c r="I125" s="6">
        <v>459</v>
      </c>
      <c r="J125" s="6">
        <v>1377</v>
      </c>
      <c r="K125" s="6">
        <v>459</v>
      </c>
      <c r="L125" s="6">
        <v>459</v>
      </c>
      <c r="M125" s="6">
        <v>459</v>
      </c>
      <c r="N125" s="6">
        <v>1377</v>
      </c>
      <c r="O125" s="6">
        <v>459</v>
      </c>
      <c r="P125" s="6">
        <v>459</v>
      </c>
      <c r="Q125" s="6">
        <v>459</v>
      </c>
      <c r="R125" s="6">
        <v>1377</v>
      </c>
      <c r="S125" s="6">
        <v>459</v>
      </c>
      <c r="T125" s="6">
        <v>459</v>
      </c>
      <c r="U125" s="6">
        <v>459</v>
      </c>
      <c r="V125" s="6">
        <v>1377</v>
      </c>
      <c r="W125" s="6">
        <v>459</v>
      </c>
      <c r="X125" s="6">
        <v>459</v>
      </c>
      <c r="Y125" s="6">
        <v>459</v>
      </c>
      <c r="Z125" s="6">
        <v>1377</v>
      </c>
      <c r="AA125" s="4">
        <v>1377</v>
      </c>
      <c r="AB125" s="25">
        <v>2295</v>
      </c>
      <c r="AC125" s="25">
        <v>1976</v>
      </c>
      <c r="AD125" s="25">
        <v>2295</v>
      </c>
      <c r="AE125">
        <v>12393</v>
      </c>
      <c r="AF125" t="s">
        <v>198</v>
      </c>
      <c r="AG125" t="s">
        <v>198</v>
      </c>
      <c r="AH125" s="33">
        <v>5.4140060773355758E-2</v>
      </c>
      <c r="AI125" s="12" t="e">
        <v>#N/A</v>
      </c>
      <c r="AJ125">
        <v>0</v>
      </c>
      <c r="AK125">
        <v>0</v>
      </c>
    </row>
    <row r="126" spans="1:37" ht="15.75" x14ac:dyDescent="0.25">
      <c r="A126" s="4">
        <v>125</v>
      </c>
      <c r="B126" t="s">
        <v>238</v>
      </c>
      <c r="C126" s="5" t="s">
        <v>124</v>
      </c>
      <c r="D126" s="5" t="s">
        <v>130</v>
      </c>
      <c r="E126" s="7">
        <v>24832</v>
      </c>
      <c r="F126" s="4" t="s">
        <v>240</v>
      </c>
      <c r="G126" s="6">
        <v>140</v>
      </c>
      <c r="H126" s="6">
        <v>140</v>
      </c>
      <c r="I126" s="6">
        <v>140</v>
      </c>
      <c r="J126" s="6">
        <v>420</v>
      </c>
      <c r="K126" s="6">
        <v>140</v>
      </c>
      <c r="L126" s="6">
        <v>140</v>
      </c>
      <c r="M126" s="6">
        <v>140</v>
      </c>
      <c r="N126" s="6">
        <v>420</v>
      </c>
      <c r="O126" s="6">
        <v>140</v>
      </c>
      <c r="P126" s="6">
        <v>140</v>
      </c>
      <c r="Q126" s="6">
        <v>140</v>
      </c>
      <c r="R126" s="6">
        <v>420</v>
      </c>
      <c r="S126" s="6">
        <v>140</v>
      </c>
      <c r="T126" s="6">
        <v>140</v>
      </c>
      <c r="U126" s="6">
        <v>140</v>
      </c>
      <c r="V126" s="6">
        <v>420</v>
      </c>
      <c r="W126" s="6">
        <v>140</v>
      </c>
      <c r="X126" s="6">
        <v>140</v>
      </c>
      <c r="Y126" s="6">
        <v>140</v>
      </c>
      <c r="Z126" s="6">
        <v>420</v>
      </c>
      <c r="AA126" s="4">
        <v>420</v>
      </c>
      <c r="AB126" s="25">
        <v>700</v>
      </c>
      <c r="AC126" s="25">
        <v>1163</v>
      </c>
      <c r="AD126" s="25">
        <v>700</v>
      </c>
      <c r="AE126">
        <v>3780</v>
      </c>
      <c r="AF126" t="s">
        <v>198</v>
      </c>
      <c r="AG126" t="s">
        <v>198</v>
      </c>
      <c r="AH126" s="33">
        <v>0.55874117740507001</v>
      </c>
      <c r="AI126" s="12">
        <v>2.0412741139524449E-2</v>
      </c>
      <c r="AJ126">
        <v>0</v>
      </c>
      <c r="AK126">
        <v>0</v>
      </c>
    </row>
    <row r="127" spans="1:37" ht="15.75" x14ac:dyDescent="0.25">
      <c r="A127" s="4">
        <v>126</v>
      </c>
      <c r="B127" t="s">
        <v>238</v>
      </c>
      <c r="C127" s="5" t="s">
        <v>124</v>
      </c>
      <c r="D127" s="5" t="s">
        <v>131</v>
      </c>
      <c r="E127" s="7">
        <v>857</v>
      </c>
      <c r="F127" s="4" t="s">
        <v>240</v>
      </c>
      <c r="G127" s="6">
        <v>604</v>
      </c>
      <c r="H127" s="6">
        <v>603</v>
      </c>
      <c r="I127" s="6">
        <v>603</v>
      </c>
      <c r="J127" s="6">
        <v>1810</v>
      </c>
      <c r="K127" s="6">
        <v>603</v>
      </c>
      <c r="L127" s="6">
        <v>603</v>
      </c>
      <c r="M127" s="6">
        <v>603</v>
      </c>
      <c r="N127" s="6">
        <v>1809</v>
      </c>
      <c r="O127" s="6">
        <v>603</v>
      </c>
      <c r="P127" s="6">
        <v>603</v>
      </c>
      <c r="Q127" s="6">
        <v>603</v>
      </c>
      <c r="R127" s="6">
        <v>1809</v>
      </c>
      <c r="S127" s="6">
        <v>603</v>
      </c>
      <c r="T127" s="6">
        <v>603</v>
      </c>
      <c r="U127" s="6">
        <v>603</v>
      </c>
      <c r="V127" s="6">
        <v>1809</v>
      </c>
      <c r="W127" s="6">
        <v>603</v>
      </c>
      <c r="X127" s="6">
        <v>603</v>
      </c>
      <c r="Y127" s="6">
        <v>603</v>
      </c>
      <c r="Z127" s="6">
        <v>1809</v>
      </c>
      <c r="AA127" s="4">
        <v>1810</v>
      </c>
      <c r="AB127" s="25">
        <v>3015</v>
      </c>
      <c r="AC127" s="25">
        <v>2746</v>
      </c>
      <c r="AD127" s="25">
        <v>3015</v>
      </c>
      <c r="AE127">
        <v>16283</v>
      </c>
      <c r="AF127" t="s">
        <v>198</v>
      </c>
      <c r="AG127" t="s">
        <v>199</v>
      </c>
      <c r="AH127" s="33">
        <v>0.87883642809836726</v>
      </c>
      <c r="AI127" s="12">
        <v>0</v>
      </c>
      <c r="AJ127">
        <v>0</v>
      </c>
      <c r="AK127">
        <v>0</v>
      </c>
    </row>
    <row r="128" spans="1:37" ht="15.75" x14ac:dyDescent="0.25">
      <c r="A128" s="4">
        <v>127</v>
      </c>
      <c r="B128" t="s">
        <v>238</v>
      </c>
      <c r="C128" s="5" t="s">
        <v>124</v>
      </c>
      <c r="D128" s="5" t="s">
        <v>132</v>
      </c>
      <c r="E128" s="7">
        <v>33404</v>
      </c>
      <c r="F128" s="4" t="s">
        <v>240</v>
      </c>
      <c r="G128" s="6">
        <v>334</v>
      </c>
      <c r="H128" s="6">
        <v>334</v>
      </c>
      <c r="I128" s="6">
        <v>334</v>
      </c>
      <c r="J128" s="6">
        <v>1002</v>
      </c>
      <c r="K128" s="6">
        <v>334</v>
      </c>
      <c r="L128" s="6">
        <v>334</v>
      </c>
      <c r="M128" s="6">
        <v>334</v>
      </c>
      <c r="N128" s="6">
        <v>1002</v>
      </c>
      <c r="O128" s="6">
        <v>334</v>
      </c>
      <c r="P128" s="6">
        <v>334</v>
      </c>
      <c r="Q128" s="6">
        <v>334</v>
      </c>
      <c r="R128" s="6">
        <v>1002</v>
      </c>
      <c r="S128" s="6">
        <v>334</v>
      </c>
      <c r="T128" s="6">
        <v>334</v>
      </c>
      <c r="U128" s="6">
        <v>334</v>
      </c>
      <c r="V128" s="6">
        <v>1002</v>
      </c>
      <c r="W128" s="6">
        <v>333</v>
      </c>
      <c r="X128" s="6">
        <v>334</v>
      </c>
      <c r="Y128" s="6">
        <v>334</v>
      </c>
      <c r="Z128" s="6">
        <v>1001</v>
      </c>
      <c r="AA128" s="4">
        <v>1002</v>
      </c>
      <c r="AB128" s="25">
        <v>1669</v>
      </c>
      <c r="AC128" s="25">
        <v>1434</v>
      </c>
      <c r="AD128" s="25">
        <v>1670</v>
      </c>
      <c r="AE128">
        <v>9017</v>
      </c>
      <c r="AF128" t="s">
        <v>198</v>
      </c>
      <c r="AG128" t="s">
        <v>199</v>
      </c>
      <c r="AH128" s="33">
        <v>0.43663947642848233</v>
      </c>
      <c r="AI128" s="12">
        <v>5.0472895040369087E-2</v>
      </c>
      <c r="AJ128">
        <v>0</v>
      </c>
      <c r="AK128">
        <v>1</v>
      </c>
    </row>
    <row r="129" spans="1:37" ht="15.75" x14ac:dyDescent="0.25">
      <c r="A129" s="4">
        <v>128</v>
      </c>
      <c r="B129" t="s">
        <v>238</v>
      </c>
      <c r="C129" s="5" t="s">
        <v>124</v>
      </c>
      <c r="D129" s="5" t="s">
        <v>133</v>
      </c>
      <c r="E129" s="7">
        <v>24868</v>
      </c>
      <c r="F129" s="4" t="s">
        <v>240</v>
      </c>
      <c r="G129" s="6">
        <v>98</v>
      </c>
      <c r="H129" s="6">
        <v>98</v>
      </c>
      <c r="I129" s="6">
        <v>98</v>
      </c>
      <c r="J129" s="6">
        <v>294</v>
      </c>
      <c r="K129" s="6">
        <v>98</v>
      </c>
      <c r="L129" s="6">
        <v>98</v>
      </c>
      <c r="M129" s="6">
        <v>98</v>
      </c>
      <c r="N129" s="6">
        <v>294</v>
      </c>
      <c r="O129" s="6">
        <v>98</v>
      </c>
      <c r="P129" s="6">
        <v>98</v>
      </c>
      <c r="Q129" s="6">
        <v>98</v>
      </c>
      <c r="R129" s="6">
        <v>294</v>
      </c>
      <c r="S129" s="6">
        <v>97</v>
      </c>
      <c r="T129" s="6">
        <v>97</v>
      </c>
      <c r="U129" s="6">
        <v>97</v>
      </c>
      <c r="V129" s="6">
        <v>291</v>
      </c>
      <c r="W129" s="6">
        <v>97</v>
      </c>
      <c r="X129" s="6">
        <v>97</v>
      </c>
      <c r="Y129" s="6">
        <v>97</v>
      </c>
      <c r="Z129" s="6">
        <v>291</v>
      </c>
      <c r="AA129" s="4">
        <v>294</v>
      </c>
      <c r="AB129" s="25">
        <v>488</v>
      </c>
      <c r="AC129" s="25">
        <v>705</v>
      </c>
      <c r="AD129" s="25">
        <v>488</v>
      </c>
      <c r="AE129">
        <v>2637</v>
      </c>
      <c r="AF129" t="s">
        <v>199</v>
      </c>
      <c r="AG129" t="s">
        <v>198</v>
      </c>
      <c r="AH129" s="33">
        <v>8.9973995145580354E-2</v>
      </c>
      <c r="AI129" s="12">
        <v>0</v>
      </c>
      <c r="AJ129">
        <v>0</v>
      </c>
      <c r="AK129">
        <v>0</v>
      </c>
    </row>
    <row r="130" spans="1:37" ht="15.75" x14ac:dyDescent="0.25">
      <c r="A130" s="4">
        <v>129</v>
      </c>
      <c r="B130" t="s">
        <v>238</v>
      </c>
      <c r="C130" s="5" t="s">
        <v>139</v>
      </c>
      <c r="D130" s="5" t="s">
        <v>140</v>
      </c>
      <c r="E130" s="7">
        <v>11378</v>
      </c>
      <c r="F130" s="4" t="s">
        <v>240</v>
      </c>
      <c r="G130" s="6">
        <v>315</v>
      </c>
      <c r="H130" s="6">
        <v>315</v>
      </c>
      <c r="I130" s="6">
        <v>315</v>
      </c>
      <c r="J130" s="6">
        <v>945</v>
      </c>
      <c r="K130" s="6">
        <v>315</v>
      </c>
      <c r="L130" s="6">
        <v>316</v>
      </c>
      <c r="M130" s="6">
        <v>316</v>
      </c>
      <c r="N130" s="6">
        <v>947</v>
      </c>
      <c r="O130" s="6">
        <v>315</v>
      </c>
      <c r="P130" s="6">
        <v>316</v>
      </c>
      <c r="Q130" s="6">
        <v>313</v>
      </c>
      <c r="R130" s="6">
        <v>944</v>
      </c>
      <c r="S130" s="6">
        <v>311</v>
      </c>
      <c r="T130" s="6">
        <v>311</v>
      </c>
      <c r="U130" s="6">
        <v>311</v>
      </c>
      <c r="V130" s="6">
        <v>933</v>
      </c>
      <c r="W130" s="6">
        <v>310</v>
      </c>
      <c r="X130" s="6">
        <v>310</v>
      </c>
      <c r="Y130" s="6">
        <v>310</v>
      </c>
      <c r="Z130" s="6">
        <v>930</v>
      </c>
      <c r="AA130" s="4">
        <v>947</v>
      </c>
      <c r="AB130" s="25">
        <v>1566</v>
      </c>
      <c r="AC130" s="25">
        <v>1477</v>
      </c>
      <c r="AD130" s="25">
        <v>1565</v>
      </c>
      <c r="AE130">
        <v>8468</v>
      </c>
      <c r="AF130" t="s">
        <v>199</v>
      </c>
      <c r="AG130" t="s">
        <v>199</v>
      </c>
      <c r="AH130" s="33">
        <v>0.22369056853203606</v>
      </c>
      <c r="AI130" s="12">
        <v>5.5960563771436503E-2</v>
      </c>
      <c r="AJ130">
        <v>0</v>
      </c>
      <c r="AK130">
        <v>0</v>
      </c>
    </row>
    <row r="131" spans="1:37" ht="15.75" x14ac:dyDescent="0.25">
      <c r="A131" s="4">
        <v>130</v>
      </c>
      <c r="B131" t="s">
        <v>238</v>
      </c>
      <c r="C131" s="5" t="s">
        <v>139</v>
      </c>
      <c r="D131" s="5" t="s">
        <v>141</v>
      </c>
      <c r="E131" s="7">
        <v>14118</v>
      </c>
      <c r="F131" s="4" t="s">
        <v>240</v>
      </c>
      <c r="G131" s="6">
        <v>224</v>
      </c>
      <c r="H131" s="6">
        <v>224</v>
      </c>
      <c r="I131" s="6">
        <v>224</v>
      </c>
      <c r="J131" s="6">
        <v>672</v>
      </c>
      <c r="K131" s="6">
        <v>224</v>
      </c>
      <c r="L131" s="6">
        <v>224</v>
      </c>
      <c r="M131" s="6">
        <v>224</v>
      </c>
      <c r="N131" s="6">
        <v>672</v>
      </c>
      <c r="O131" s="6">
        <v>224</v>
      </c>
      <c r="P131" s="6">
        <v>224</v>
      </c>
      <c r="Q131" s="6">
        <v>224</v>
      </c>
      <c r="R131" s="6">
        <v>672</v>
      </c>
      <c r="S131" s="6">
        <v>224</v>
      </c>
      <c r="T131" s="6">
        <v>224</v>
      </c>
      <c r="U131" s="6">
        <v>224</v>
      </c>
      <c r="V131" s="6">
        <v>672</v>
      </c>
      <c r="W131" s="6">
        <v>224</v>
      </c>
      <c r="X131" s="6">
        <v>224</v>
      </c>
      <c r="Y131" s="6">
        <v>224</v>
      </c>
      <c r="Z131" s="6">
        <v>672</v>
      </c>
      <c r="AA131" s="4">
        <v>672</v>
      </c>
      <c r="AB131" s="25">
        <v>1120</v>
      </c>
      <c r="AC131" s="25">
        <v>1256</v>
      </c>
      <c r="AD131" s="25">
        <v>1120</v>
      </c>
      <c r="AE131">
        <v>6048</v>
      </c>
      <c r="AF131" t="s">
        <v>199</v>
      </c>
      <c r="AG131" t="s">
        <v>198</v>
      </c>
      <c r="AH131" s="33">
        <v>0.52398593917494429</v>
      </c>
      <c r="AI131" s="12">
        <v>3.7117759725249326E-2</v>
      </c>
      <c r="AJ131">
        <v>1</v>
      </c>
      <c r="AK131">
        <v>0</v>
      </c>
    </row>
    <row r="132" spans="1:37" ht="15.75" x14ac:dyDescent="0.25">
      <c r="A132" s="4">
        <v>131</v>
      </c>
      <c r="B132" t="s">
        <v>238</v>
      </c>
      <c r="C132" s="5" t="s">
        <v>139</v>
      </c>
      <c r="D132" s="5" t="s">
        <v>142</v>
      </c>
      <c r="E132" s="30">
        <v>7980</v>
      </c>
      <c r="F132" s="4" t="s">
        <v>240</v>
      </c>
      <c r="G132" s="6">
        <v>362</v>
      </c>
      <c r="H132" s="6">
        <v>360</v>
      </c>
      <c r="I132" s="6">
        <v>357</v>
      </c>
      <c r="J132" s="6">
        <v>1079</v>
      </c>
      <c r="K132" s="6">
        <v>362</v>
      </c>
      <c r="L132" s="6">
        <v>360</v>
      </c>
      <c r="M132" s="6">
        <v>360</v>
      </c>
      <c r="N132" s="6">
        <v>1082</v>
      </c>
      <c r="O132" s="6">
        <v>360</v>
      </c>
      <c r="P132" s="6">
        <v>359</v>
      </c>
      <c r="Q132" s="6">
        <v>357</v>
      </c>
      <c r="R132" s="6">
        <v>1076</v>
      </c>
      <c r="S132" s="6">
        <v>362</v>
      </c>
      <c r="T132" s="6">
        <v>360</v>
      </c>
      <c r="U132" s="6">
        <v>359</v>
      </c>
      <c r="V132" s="6">
        <v>1081</v>
      </c>
      <c r="W132" s="6">
        <v>357</v>
      </c>
      <c r="X132" s="6">
        <v>362</v>
      </c>
      <c r="Y132" s="6">
        <v>363</v>
      </c>
      <c r="Z132" s="6">
        <v>1082</v>
      </c>
      <c r="AA132" s="4">
        <v>1082</v>
      </c>
      <c r="AB132" s="25">
        <v>1801</v>
      </c>
      <c r="AC132" s="25">
        <v>1610</v>
      </c>
      <c r="AD132" s="25">
        <v>1796</v>
      </c>
      <c r="AE132">
        <v>9718</v>
      </c>
      <c r="AF132" t="s">
        <v>198</v>
      </c>
      <c r="AG132" t="s">
        <v>199</v>
      </c>
      <c r="AH132" s="33">
        <v>0.82936772638076595</v>
      </c>
      <c r="AI132" s="12">
        <v>0</v>
      </c>
      <c r="AJ132">
        <v>0</v>
      </c>
      <c r="AK132">
        <v>0</v>
      </c>
    </row>
    <row r="133" spans="1:37" ht="15.75" x14ac:dyDescent="0.25">
      <c r="A133" s="4">
        <v>132</v>
      </c>
      <c r="B133" t="s">
        <v>238</v>
      </c>
      <c r="C133" s="5" t="s">
        <v>139</v>
      </c>
      <c r="D133" s="5" t="s">
        <v>143</v>
      </c>
      <c r="E133" s="30">
        <v>38759</v>
      </c>
      <c r="F133" s="4" t="s">
        <v>240</v>
      </c>
      <c r="G133" s="6">
        <v>169</v>
      </c>
      <c r="H133" s="6">
        <v>169</v>
      </c>
      <c r="I133" s="6">
        <v>169</v>
      </c>
      <c r="J133" s="6">
        <v>507</v>
      </c>
      <c r="K133" s="6">
        <v>169</v>
      </c>
      <c r="L133" s="6">
        <v>169</v>
      </c>
      <c r="M133" s="6">
        <v>169</v>
      </c>
      <c r="N133" s="6">
        <v>507</v>
      </c>
      <c r="O133" s="6">
        <v>169</v>
      </c>
      <c r="P133" s="6">
        <v>169</v>
      </c>
      <c r="Q133" s="6">
        <v>169</v>
      </c>
      <c r="R133" s="6">
        <v>507</v>
      </c>
      <c r="S133" s="6">
        <v>168</v>
      </c>
      <c r="T133" s="6">
        <v>168</v>
      </c>
      <c r="U133" s="6">
        <v>168</v>
      </c>
      <c r="V133" s="6">
        <v>504</v>
      </c>
      <c r="W133" s="6">
        <v>168</v>
      </c>
      <c r="X133" s="6">
        <v>168</v>
      </c>
      <c r="Y133" s="6">
        <v>168</v>
      </c>
      <c r="Z133" s="6">
        <v>504</v>
      </c>
      <c r="AA133" s="4">
        <v>507</v>
      </c>
      <c r="AB133" s="25">
        <v>843</v>
      </c>
      <c r="AC133" s="25">
        <v>806</v>
      </c>
      <c r="AD133" s="25">
        <v>843</v>
      </c>
      <c r="AE133">
        <v>4554</v>
      </c>
      <c r="AF133" t="s">
        <v>199</v>
      </c>
      <c r="AG133" t="s">
        <v>198</v>
      </c>
      <c r="AH133" s="33">
        <v>0.93447117484513298</v>
      </c>
      <c r="AI133" s="12">
        <v>0</v>
      </c>
      <c r="AJ133">
        <v>0</v>
      </c>
      <c r="AK133">
        <v>0</v>
      </c>
    </row>
    <row r="134" spans="1:37" ht="15.75" x14ac:dyDescent="0.25">
      <c r="A134" s="4">
        <v>133</v>
      </c>
      <c r="B134" t="s">
        <v>238</v>
      </c>
      <c r="C134" s="5" t="s">
        <v>139</v>
      </c>
      <c r="D134" s="5" t="s">
        <v>144</v>
      </c>
      <c r="E134" s="30">
        <v>27849</v>
      </c>
      <c r="F134" s="4" t="s">
        <v>240</v>
      </c>
      <c r="G134" s="6">
        <v>132</v>
      </c>
      <c r="H134" s="6">
        <v>132</v>
      </c>
      <c r="I134" s="6">
        <v>132</v>
      </c>
      <c r="J134" s="6">
        <v>396</v>
      </c>
      <c r="K134" s="6">
        <v>132</v>
      </c>
      <c r="L134" s="6">
        <v>132</v>
      </c>
      <c r="M134" s="6">
        <v>132</v>
      </c>
      <c r="N134" s="6">
        <v>396</v>
      </c>
      <c r="O134" s="6">
        <v>132</v>
      </c>
      <c r="P134" s="6">
        <v>132</v>
      </c>
      <c r="Q134" s="6">
        <v>132</v>
      </c>
      <c r="R134" s="6">
        <v>396</v>
      </c>
      <c r="S134" s="6">
        <v>132</v>
      </c>
      <c r="T134" s="6">
        <v>132</v>
      </c>
      <c r="U134" s="6">
        <v>132</v>
      </c>
      <c r="V134" s="6">
        <v>396</v>
      </c>
      <c r="W134" s="6">
        <v>95</v>
      </c>
      <c r="X134" s="6">
        <v>132</v>
      </c>
      <c r="Y134" s="6">
        <v>132</v>
      </c>
      <c r="Z134" s="6">
        <v>359</v>
      </c>
      <c r="AA134" s="4">
        <v>396</v>
      </c>
      <c r="AB134" s="25">
        <v>623</v>
      </c>
      <c r="AC134" s="25">
        <v>730</v>
      </c>
      <c r="AD134" s="25">
        <v>660</v>
      </c>
      <c r="AE134">
        <v>3527</v>
      </c>
      <c r="AF134" t="s">
        <v>198</v>
      </c>
      <c r="AG134" t="s">
        <v>198</v>
      </c>
      <c r="AH134" s="33">
        <v>5.9374973761758931E-2</v>
      </c>
      <c r="AI134" s="12" t="e">
        <v>#N/A</v>
      </c>
      <c r="AJ134">
        <v>0</v>
      </c>
      <c r="AK134">
        <v>0</v>
      </c>
    </row>
    <row r="135" spans="1:37" ht="15.75" x14ac:dyDescent="0.25">
      <c r="A135" s="4">
        <v>134</v>
      </c>
      <c r="B135" t="s">
        <v>238</v>
      </c>
      <c r="C135" s="5" t="s">
        <v>139</v>
      </c>
      <c r="D135" s="5" t="s">
        <v>145</v>
      </c>
      <c r="E135" s="30">
        <v>8569</v>
      </c>
      <c r="F135" s="4" t="s">
        <v>241</v>
      </c>
      <c r="G135" s="6">
        <v>202</v>
      </c>
      <c r="H135" s="6">
        <v>202</v>
      </c>
      <c r="I135" s="6">
        <v>202</v>
      </c>
      <c r="J135" s="6">
        <v>606</v>
      </c>
      <c r="K135" s="6">
        <v>202</v>
      </c>
      <c r="L135" s="6">
        <v>202</v>
      </c>
      <c r="M135" s="6">
        <v>202</v>
      </c>
      <c r="N135" s="6">
        <v>606</v>
      </c>
      <c r="O135" s="6">
        <v>202</v>
      </c>
      <c r="P135" s="6">
        <v>202</v>
      </c>
      <c r="Q135" s="6">
        <v>202</v>
      </c>
      <c r="R135" s="6">
        <v>606</v>
      </c>
      <c r="S135" s="6">
        <v>202</v>
      </c>
      <c r="T135" s="6">
        <v>202</v>
      </c>
      <c r="U135" s="6">
        <v>202</v>
      </c>
      <c r="V135" s="6">
        <v>606</v>
      </c>
      <c r="W135" s="6">
        <v>202</v>
      </c>
      <c r="X135" s="6">
        <v>202</v>
      </c>
      <c r="Y135" s="6">
        <v>202</v>
      </c>
      <c r="Z135" s="6">
        <v>606</v>
      </c>
      <c r="AA135" s="4">
        <v>606</v>
      </c>
      <c r="AB135" s="25">
        <v>1010</v>
      </c>
      <c r="AC135" s="25">
        <v>1048</v>
      </c>
      <c r="AD135" s="25">
        <v>1010</v>
      </c>
      <c r="AE135">
        <v>5454</v>
      </c>
      <c r="AF135" t="s">
        <v>198</v>
      </c>
      <c r="AG135" t="s">
        <v>198</v>
      </c>
      <c r="AH135" s="33">
        <v>5.1108556604606004E-2</v>
      </c>
      <c r="AI135" s="12">
        <v>2.1677893447642375E-2</v>
      </c>
      <c r="AJ135">
        <v>0</v>
      </c>
      <c r="AK135">
        <v>0</v>
      </c>
    </row>
    <row r="136" spans="1:37" ht="15.75" x14ac:dyDescent="0.25">
      <c r="A136" s="4">
        <v>135</v>
      </c>
      <c r="B136" t="s">
        <v>238</v>
      </c>
      <c r="C136" s="5" t="s">
        <v>139</v>
      </c>
      <c r="D136" s="5" t="s">
        <v>145</v>
      </c>
      <c r="E136" s="30">
        <v>8765</v>
      </c>
      <c r="F136" s="4" t="s">
        <v>241</v>
      </c>
      <c r="G136" s="6">
        <v>240</v>
      </c>
      <c r="H136" s="6">
        <v>240</v>
      </c>
      <c r="I136" s="6">
        <v>240</v>
      </c>
      <c r="J136" s="6">
        <v>720</v>
      </c>
      <c r="K136" s="6">
        <v>240</v>
      </c>
      <c r="L136" s="6">
        <v>240</v>
      </c>
      <c r="M136" s="6">
        <v>240</v>
      </c>
      <c r="N136" s="6">
        <v>720</v>
      </c>
      <c r="O136" s="6">
        <v>240</v>
      </c>
      <c r="P136" s="6">
        <v>240</v>
      </c>
      <c r="Q136" s="6">
        <v>240</v>
      </c>
      <c r="R136" s="6">
        <v>720</v>
      </c>
      <c r="S136" s="6">
        <v>240</v>
      </c>
      <c r="T136" s="6">
        <v>240</v>
      </c>
      <c r="U136" s="6">
        <v>240</v>
      </c>
      <c r="V136" s="6">
        <v>720</v>
      </c>
      <c r="W136" s="6">
        <v>240</v>
      </c>
      <c r="X136" s="6">
        <v>240</v>
      </c>
      <c r="Y136" s="6">
        <v>240</v>
      </c>
      <c r="Z136" s="6">
        <v>720</v>
      </c>
      <c r="AA136" s="4">
        <v>720</v>
      </c>
      <c r="AB136" s="25">
        <v>1200</v>
      </c>
      <c r="AC136" s="25">
        <v>1181</v>
      </c>
      <c r="AD136" s="25">
        <v>1200</v>
      </c>
      <c r="AE136">
        <v>6480</v>
      </c>
      <c r="AF136" t="s">
        <v>198</v>
      </c>
      <c r="AG136" t="s">
        <v>198</v>
      </c>
      <c r="AH136" s="33">
        <v>1.0145108311786166E-2</v>
      </c>
      <c r="AI136" s="12">
        <v>0</v>
      </c>
      <c r="AJ136">
        <v>0</v>
      </c>
      <c r="AK136">
        <v>0</v>
      </c>
    </row>
    <row r="137" spans="1:37" ht="15.75" x14ac:dyDescent="0.25">
      <c r="A137" s="4">
        <v>136</v>
      </c>
      <c r="B137" t="s">
        <v>238</v>
      </c>
      <c r="C137" s="5" t="s">
        <v>139</v>
      </c>
      <c r="D137" s="5" t="s">
        <v>146</v>
      </c>
      <c r="E137" s="30">
        <v>8059</v>
      </c>
      <c r="F137" s="4" t="s">
        <v>240</v>
      </c>
      <c r="G137" s="6">
        <v>221</v>
      </c>
      <c r="H137" s="6">
        <v>221</v>
      </c>
      <c r="I137" s="6">
        <v>221</v>
      </c>
      <c r="J137" s="6">
        <v>663</v>
      </c>
      <c r="K137" s="6">
        <v>221</v>
      </c>
      <c r="L137" s="6">
        <v>221</v>
      </c>
      <c r="M137" s="6">
        <v>221</v>
      </c>
      <c r="N137" s="6">
        <v>663</v>
      </c>
      <c r="O137" s="6">
        <v>221</v>
      </c>
      <c r="P137" s="6">
        <v>221</v>
      </c>
      <c r="Q137" s="6">
        <v>221</v>
      </c>
      <c r="R137" s="6">
        <v>663</v>
      </c>
      <c r="S137" s="6">
        <v>221</v>
      </c>
      <c r="T137" s="6">
        <v>221</v>
      </c>
      <c r="U137" s="6">
        <v>221</v>
      </c>
      <c r="V137" s="6">
        <v>663</v>
      </c>
      <c r="W137" s="6">
        <v>221</v>
      </c>
      <c r="X137" s="6">
        <v>221</v>
      </c>
      <c r="Y137" s="6">
        <v>221</v>
      </c>
      <c r="Z137" s="6">
        <v>663</v>
      </c>
      <c r="AA137" s="4">
        <v>663</v>
      </c>
      <c r="AB137" s="25">
        <v>1105</v>
      </c>
      <c r="AC137" s="25">
        <v>1300</v>
      </c>
      <c r="AD137" s="25">
        <v>1105</v>
      </c>
      <c r="AE137">
        <v>5967</v>
      </c>
      <c r="AF137" t="s">
        <v>198</v>
      </c>
      <c r="AG137" t="s">
        <v>198</v>
      </c>
      <c r="AH137" s="33">
        <v>0.77556032695080346</v>
      </c>
      <c r="AI137" s="12">
        <v>2.4594764121356177E-2</v>
      </c>
      <c r="AJ137">
        <v>0</v>
      </c>
      <c r="AK137">
        <v>0</v>
      </c>
    </row>
    <row r="138" spans="1:37" ht="15.75" x14ac:dyDescent="0.25">
      <c r="A138" s="4">
        <v>137</v>
      </c>
      <c r="B138" t="s">
        <v>239</v>
      </c>
      <c r="C138" s="5" t="s">
        <v>185</v>
      </c>
      <c r="D138" s="5" t="s">
        <v>186</v>
      </c>
      <c r="E138" s="30">
        <v>8817</v>
      </c>
      <c r="F138" s="4" t="s">
        <v>240</v>
      </c>
      <c r="G138" s="6">
        <v>416</v>
      </c>
      <c r="H138" s="6">
        <v>416</v>
      </c>
      <c r="I138" s="6">
        <v>416</v>
      </c>
      <c r="J138" s="6">
        <v>1248</v>
      </c>
      <c r="K138" s="6">
        <v>416</v>
      </c>
      <c r="L138" s="6">
        <v>416</v>
      </c>
      <c r="M138" s="6">
        <v>416</v>
      </c>
      <c r="N138" s="6">
        <v>1248</v>
      </c>
      <c r="O138" s="6">
        <v>416</v>
      </c>
      <c r="P138" s="6">
        <v>416</v>
      </c>
      <c r="Q138" s="6">
        <v>416</v>
      </c>
      <c r="R138" s="6">
        <v>1248</v>
      </c>
      <c r="S138" s="6">
        <v>416</v>
      </c>
      <c r="T138" s="6">
        <v>416</v>
      </c>
      <c r="U138" s="6">
        <v>416</v>
      </c>
      <c r="V138" s="6">
        <v>1248</v>
      </c>
      <c r="W138" s="6">
        <v>416</v>
      </c>
      <c r="X138" s="6">
        <v>416</v>
      </c>
      <c r="Y138" s="6">
        <v>416</v>
      </c>
      <c r="Z138" s="6">
        <v>1248</v>
      </c>
      <c r="AA138" s="4">
        <v>1248</v>
      </c>
      <c r="AB138" s="25">
        <v>2080</v>
      </c>
      <c r="AC138" s="25">
        <v>2519</v>
      </c>
      <c r="AD138" s="25">
        <v>2080</v>
      </c>
      <c r="AE138">
        <v>11232</v>
      </c>
      <c r="AF138" t="s">
        <v>198</v>
      </c>
      <c r="AG138" t="s">
        <v>198</v>
      </c>
      <c r="AH138" s="33">
        <v>0.70103868577957473</v>
      </c>
      <c r="AI138" s="12">
        <v>1.9192939550215324E-2</v>
      </c>
      <c r="AJ138">
        <v>0</v>
      </c>
      <c r="AK138">
        <v>0</v>
      </c>
    </row>
    <row r="139" spans="1:37" ht="15.75" x14ac:dyDescent="0.25">
      <c r="A139" s="4">
        <v>138</v>
      </c>
      <c r="B139" t="s">
        <v>239</v>
      </c>
      <c r="C139" s="5" t="s">
        <v>185</v>
      </c>
      <c r="D139" s="5" t="s">
        <v>186</v>
      </c>
      <c r="E139" s="30">
        <v>8213</v>
      </c>
      <c r="F139" s="4" t="s">
        <v>240</v>
      </c>
      <c r="G139" s="6">
        <v>855</v>
      </c>
      <c r="H139" s="6">
        <v>855</v>
      </c>
      <c r="I139" s="6">
        <v>855</v>
      </c>
      <c r="J139" s="6">
        <v>2565</v>
      </c>
      <c r="K139" s="6">
        <v>855</v>
      </c>
      <c r="L139" s="6">
        <v>855</v>
      </c>
      <c r="M139" s="6">
        <v>855</v>
      </c>
      <c r="N139" s="6">
        <v>2565</v>
      </c>
      <c r="O139" s="6">
        <v>855</v>
      </c>
      <c r="P139" s="6">
        <v>855</v>
      </c>
      <c r="Q139" s="6">
        <v>855</v>
      </c>
      <c r="R139" s="6">
        <v>2565</v>
      </c>
      <c r="S139" s="6">
        <v>855</v>
      </c>
      <c r="T139" s="6">
        <v>855</v>
      </c>
      <c r="U139" s="6">
        <v>855</v>
      </c>
      <c r="V139" s="6">
        <v>2565</v>
      </c>
      <c r="W139" s="6">
        <v>855</v>
      </c>
      <c r="X139" s="6">
        <v>855</v>
      </c>
      <c r="Y139" s="6">
        <v>855</v>
      </c>
      <c r="Z139" s="6">
        <v>2565</v>
      </c>
      <c r="AA139" s="4">
        <v>2565</v>
      </c>
      <c r="AB139" s="25">
        <v>4275</v>
      </c>
      <c r="AC139" s="25">
        <v>4559</v>
      </c>
      <c r="AD139" s="25">
        <v>4275</v>
      </c>
      <c r="AE139">
        <v>23085</v>
      </c>
      <c r="AF139" t="s">
        <v>199</v>
      </c>
      <c r="AG139" t="s">
        <v>198</v>
      </c>
      <c r="AH139" s="33">
        <v>0.64495576248393671</v>
      </c>
      <c r="AI139" s="12">
        <v>0</v>
      </c>
      <c r="AJ139">
        <v>0</v>
      </c>
      <c r="AK139">
        <v>0</v>
      </c>
    </row>
    <row r="140" spans="1:37" ht="15.75" x14ac:dyDescent="0.25">
      <c r="A140" s="4">
        <v>139</v>
      </c>
      <c r="B140" t="s">
        <v>239</v>
      </c>
      <c r="C140" s="5" t="s">
        <v>185</v>
      </c>
      <c r="D140" s="5" t="s">
        <v>187</v>
      </c>
      <c r="E140" s="30">
        <v>30270</v>
      </c>
      <c r="F140" s="4" t="s">
        <v>240</v>
      </c>
      <c r="G140" s="6">
        <v>1139</v>
      </c>
      <c r="H140" s="6">
        <v>1139</v>
      </c>
      <c r="I140" s="6">
        <v>1139</v>
      </c>
      <c r="J140" s="6">
        <v>3417</v>
      </c>
      <c r="K140" s="6">
        <v>1139</v>
      </c>
      <c r="L140" s="6">
        <v>1139</v>
      </c>
      <c r="M140" s="6">
        <v>1139</v>
      </c>
      <c r="N140" s="6">
        <v>3417</v>
      </c>
      <c r="O140" s="6">
        <v>1139</v>
      </c>
      <c r="P140" s="6">
        <v>1139</v>
      </c>
      <c r="Q140" s="6">
        <v>1139</v>
      </c>
      <c r="R140" s="6">
        <v>3417</v>
      </c>
      <c r="S140" s="6">
        <v>1139</v>
      </c>
      <c r="T140" s="6">
        <v>1139</v>
      </c>
      <c r="U140" s="6">
        <v>1139</v>
      </c>
      <c r="V140" s="6">
        <v>3417</v>
      </c>
      <c r="W140" s="6">
        <v>1139</v>
      </c>
      <c r="X140" s="6">
        <v>1139</v>
      </c>
      <c r="Y140" s="6">
        <v>1139</v>
      </c>
      <c r="Z140" s="6">
        <v>3417</v>
      </c>
      <c r="AA140" s="4">
        <v>3417</v>
      </c>
      <c r="AB140" s="25">
        <v>5695</v>
      </c>
      <c r="AC140" s="25">
        <v>5689</v>
      </c>
      <c r="AD140" s="25">
        <v>5695</v>
      </c>
      <c r="AE140">
        <v>30753</v>
      </c>
      <c r="AF140" t="s">
        <v>198</v>
      </c>
      <c r="AG140" t="s">
        <v>198</v>
      </c>
      <c r="AH140" s="33">
        <v>0.42601691422868326</v>
      </c>
      <c r="AI140" s="12">
        <v>0</v>
      </c>
      <c r="AJ140">
        <v>3</v>
      </c>
      <c r="AK140">
        <v>0</v>
      </c>
    </row>
    <row r="141" spans="1:37" ht="15.75" x14ac:dyDescent="0.25">
      <c r="A141" s="4">
        <v>140</v>
      </c>
      <c r="B141" t="s">
        <v>239</v>
      </c>
      <c r="C141" s="5" t="s">
        <v>185</v>
      </c>
      <c r="D141" s="5" t="s">
        <v>188</v>
      </c>
      <c r="E141" s="7">
        <v>30269</v>
      </c>
      <c r="F141" s="4" t="s">
        <v>240</v>
      </c>
      <c r="G141" s="6">
        <v>1133</v>
      </c>
      <c r="H141" s="6">
        <v>1133</v>
      </c>
      <c r="I141" s="6">
        <v>1133</v>
      </c>
      <c r="J141" s="6">
        <v>3399</v>
      </c>
      <c r="K141" s="6">
        <v>1133</v>
      </c>
      <c r="L141" s="6">
        <v>1133</v>
      </c>
      <c r="M141" s="6">
        <v>1133</v>
      </c>
      <c r="N141" s="6">
        <v>3399</v>
      </c>
      <c r="O141" s="6">
        <v>1133</v>
      </c>
      <c r="P141" s="6">
        <v>1133</v>
      </c>
      <c r="Q141" s="6">
        <v>1133</v>
      </c>
      <c r="R141" s="6">
        <v>3399</v>
      </c>
      <c r="S141" s="6">
        <v>1133</v>
      </c>
      <c r="T141" s="6">
        <v>1133</v>
      </c>
      <c r="U141" s="6">
        <v>1133</v>
      </c>
      <c r="V141" s="6">
        <v>3399</v>
      </c>
      <c r="W141" s="6">
        <v>1133</v>
      </c>
      <c r="X141" s="6">
        <v>1133</v>
      </c>
      <c r="Y141" s="6">
        <v>1133</v>
      </c>
      <c r="Z141" s="6">
        <v>3399</v>
      </c>
      <c r="AA141" s="4">
        <v>3399</v>
      </c>
      <c r="AB141" s="25">
        <v>5665</v>
      </c>
      <c r="AC141" s="25">
        <v>4709</v>
      </c>
      <c r="AD141" s="25">
        <v>5665</v>
      </c>
      <c r="AE141">
        <v>30591</v>
      </c>
      <c r="AF141" t="s">
        <v>198</v>
      </c>
      <c r="AG141" t="s">
        <v>198</v>
      </c>
      <c r="AH141" s="33">
        <v>5.0354449036242421E-2</v>
      </c>
      <c r="AI141" s="12">
        <v>0</v>
      </c>
      <c r="AJ141">
        <v>4</v>
      </c>
      <c r="AK141">
        <v>0</v>
      </c>
    </row>
    <row r="142" spans="1:37" ht="15.75" x14ac:dyDescent="0.25">
      <c r="A142" s="4">
        <v>141</v>
      </c>
      <c r="B142" t="s">
        <v>239</v>
      </c>
      <c r="C142" s="5" t="s">
        <v>185</v>
      </c>
      <c r="D142" s="5" t="s">
        <v>189</v>
      </c>
      <c r="E142" s="7">
        <v>9120</v>
      </c>
      <c r="F142" s="4" t="s">
        <v>241</v>
      </c>
      <c r="G142" s="6">
        <v>177</v>
      </c>
      <c r="H142" s="6">
        <v>177</v>
      </c>
      <c r="I142" s="6">
        <v>177</v>
      </c>
      <c r="J142" s="6">
        <v>531</v>
      </c>
      <c r="K142" s="6">
        <v>177</v>
      </c>
      <c r="L142" s="6">
        <v>177</v>
      </c>
      <c r="M142" s="6">
        <v>177</v>
      </c>
      <c r="N142" s="6">
        <v>531</v>
      </c>
      <c r="O142" s="6">
        <v>177</v>
      </c>
      <c r="P142" s="6">
        <v>177</v>
      </c>
      <c r="Q142" s="6">
        <v>177</v>
      </c>
      <c r="R142" s="6">
        <v>531</v>
      </c>
      <c r="S142" s="6">
        <v>177</v>
      </c>
      <c r="T142" s="6">
        <v>177</v>
      </c>
      <c r="U142" s="6">
        <v>177</v>
      </c>
      <c r="V142" s="6">
        <v>531</v>
      </c>
      <c r="W142" s="6">
        <v>177</v>
      </c>
      <c r="X142" s="6">
        <v>177</v>
      </c>
      <c r="Y142" s="6">
        <v>177</v>
      </c>
      <c r="Z142" s="6">
        <v>531</v>
      </c>
      <c r="AA142" s="4">
        <v>531</v>
      </c>
      <c r="AB142" s="25">
        <v>885</v>
      </c>
      <c r="AC142" s="25">
        <v>931</v>
      </c>
      <c r="AD142" s="25">
        <v>885</v>
      </c>
      <c r="AE142">
        <v>4779</v>
      </c>
      <c r="AF142" t="s">
        <v>198</v>
      </c>
      <c r="AG142" t="s">
        <v>199</v>
      </c>
      <c r="AH142" s="33">
        <v>0.86958596238910868</v>
      </c>
      <c r="AI142" s="12">
        <v>0</v>
      </c>
      <c r="AJ142">
        <v>0</v>
      </c>
      <c r="AK142">
        <v>0</v>
      </c>
    </row>
    <row r="143" spans="1:37" ht="15.75" x14ac:dyDescent="0.25">
      <c r="A143" s="4">
        <v>142</v>
      </c>
      <c r="B143" t="s">
        <v>239</v>
      </c>
      <c r="C143" s="5" t="s">
        <v>185</v>
      </c>
      <c r="D143" s="5" t="s">
        <v>189</v>
      </c>
      <c r="E143" s="7">
        <v>9040</v>
      </c>
      <c r="F143" s="4" t="s">
        <v>241</v>
      </c>
      <c r="G143" s="6">
        <v>223</v>
      </c>
      <c r="H143" s="6">
        <v>223</v>
      </c>
      <c r="I143" s="6">
        <v>223</v>
      </c>
      <c r="J143" s="6">
        <v>669</v>
      </c>
      <c r="K143" s="6">
        <v>223</v>
      </c>
      <c r="L143" s="6">
        <v>223</v>
      </c>
      <c r="M143" s="6">
        <v>223</v>
      </c>
      <c r="N143" s="6">
        <v>669</v>
      </c>
      <c r="O143" s="6">
        <v>223</v>
      </c>
      <c r="P143" s="6">
        <v>223</v>
      </c>
      <c r="Q143" s="6">
        <v>223</v>
      </c>
      <c r="R143" s="6">
        <v>669</v>
      </c>
      <c r="S143" s="6">
        <v>223</v>
      </c>
      <c r="T143" s="6">
        <v>223</v>
      </c>
      <c r="U143" s="6">
        <v>223</v>
      </c>
      <c r="V143" s="6">
        <v>669</v>
      </c>
      <c r="W143" s="6">
        <v>223</v>
      </c>
      <c r="X143" s="6">
        <v>223</v>
      </c>
      <c r="Y143" s="6">
        <v>223</v>
      </c>
      <c r="Z143" s="6">
        <v>669</v>
      </c>
      <c r="AA143" s="4">
        <v>669</v>
      </c>
      <c r="AB143" s="25">
        <v>1115</v>
      </c>
      <c r="AC143" s="25">
        <v>1343</v>
      </c>
      <c r="AD143" s="25">
        <v>1115</v>
      </c>
      <c r="AE143">
        <v>6021</v>
      </c>
      <c r="AF143" t="s">
        <v>198</v>
      </c>
      <c r="AG143" t="s">
        <v>199</v>
      </c>
      <c r="AH143" s="33">
        <v>0.36758487133685569</v>
      </c>
      <c r="AI143" s="12">
        <v>0.14436958614051973</v>
      </c>
      <c r="AJ143">
        <v>0</v>
      </c>
      <c r="AK143">
        <v>0</v>
      </c>
    </row>
    <row r="144" spans="1:37" ht="15.75" x14ac:dyDescent="0.25">
      <c r="A144" s="4">
        <v>143</v>
      </c>
      <c r="B144" t="s">
        <v>239</v>
      </c>
      <c r="C144" s="5" t="s">
        <v>185</v>
      </c>
      <c r="D144" s="5" t="s">
        <v>190</v>
      </c>
      <c r="E144" s="7">
        <v>9252</v>
      </c>
      <c r="F144" s="4" t="s">
        <v>240</v>
      </c>
      <c r="G144" s="6">
        <v>451</v>
      </c>
      <c r="H144" s="6">
        <v>451</v>
      </c>
      <c r="I144" s="6">
        <v>451</v>
      </c>
      <c r="J144" s="6">
        <v>1353</v>
      </c>
      <c r="K144" s="6">
        <v>451</v>
      </c>
      <c r="L144" s="6">
        <v>451</v>
      </c>
      <c r="M144" s="6">
        <v>451</v>
      </c>
      <c r="N144" s="6">
        <v>1353</v>
      </c>
      <c r="O144" s="6">
        <v>451</v>
      </c>
      <c r="P144" s="6">
        <v>451</v>
      </c>
      <c r="Q144" s="6">
        <v>451</v>
      </c>
      <c r="R144" s="6">
        <v>1353</v>
      </c>
      <c r="S144" s="6">
        <v>451</v>
      </c>
      <c r="T144" s="6">
        <v>451</v>
      </c>
      <c r="U144" s="6">
        <v>451</v>
      </c>
      <c r="V144" s="6">
        <v>1353</v>
      </c>
      <c r="W144" s="6">
        <v>451</v>
      </c>
      <c r="X144" s="6">
        <v>451</v>
      </c>
      <c r="Y144" s="6">
        <v>451</v>
      </c>
      <c r="Z144" s="6">
        <v>1353</v>
      </c>
      <c r="AA144" s="4">
        <v>1353</v>
      </c>
      <c r="AB144" s="25">
        <v>2255</v>
      </c>
      <c r="AC144" s="25">
        <v>2260</v>
      </c>
      <c r="AD144" s="25">
        <v>2255</v>
      </c>
      <c r="AE144">
        <v>12177</v>
      </c>
      <c r="AF144" t="s">
        <v>199</v>
      </c>
      <c r="AG144" t="s">
        <v>198</v>
      </c>
      <c r="AH144" s="33">
        <v>0.48689155568450704</v>
      </c>
      <c r="AI144" s="12">
        <v>0</v>
      </c>
      <c r="AJ144">
        <v>0</v>
      </c>
      <c r="AK144">
        <v>0</v>
      </c>
    </row>
    <row r="145" spans="1:37" ht="15.75" x14ac:dyDescent="0.25">
      <c r="A145" s="4">
        <v>144</v>
      </c>
      <c r="B145" t="s">
        <v>239</v>
      </c>
      <c r="C145" s="5" t="s">
        <v>185</v>
      </c>
      <c r="D145" s="5" t="s">
        <v>191</v>
      </c>
      <c r="E145" s="7">
        <v>23441</v>
      </c>
      <c r="F145" s="4" t="s">
        <v>240</v>
      </c>
      <c r="G145" s="6">
        <v>456</v>
      </c>
      <c r="H145" s="6">
        <v>456</v>
      </c>
      <c r="I145" s="6">
        <v>456</v>
      </c>
      <c r="J145" s="6">
        <v>1368</v>
      </c>
      <c r="K145" s="6">
        <v>456</v>
      </c>
      <c r="L145" s="6">
        <v>456</v>
      </c>
      <c r="M145" s="6">
        <v>456</v>
      </c>
      <c r="N145" s="6">
        <v>1368</v>
      </c>
      <c r="O145" s="6">
        <v>456</v>
      </c>
      <c r="P145" s="6">
        <v>456</v>
      </c>
      <c r="Q145" s="6">
        <v>456</v>
      </c>
      <c r="R145" s="6">
        <v>1368</v>
      </c>
      <c r="S145" s="6">
        <v>456</v>
      </c>
      <c r="T145" s="6">
        <v>456</v>
      </c>
      <c r="U145" s="6">
        <v>456</v>
      </c>
      <c r="V145" s="6">
        <v>1368</v>
      </c>
      <c r="W145" s="6">
        <v>456</v>
      </c>
      <c r="X145" s="6">
        <v>456</v>
      </c>
      <c r="Y145" s="6">
        <v>456</v>
      </c>
      <c r="Z145" s="6">
        <v>1368</v>
      </c>
      <c r="AA145" s="4">
        <v>1368</v>
      </c>
      <c r="AB145" s="25">
        <v>2280</v>
      </c>
      <c r="AC145" s="25">
        <v>1988</v>
      </c>
      <c r="AD145" s="25">
        <v>2280</v>
      </c>
      <c r="AE145">
        <v>12312</v>
      </c>
      <c r="AF145" t="s">
        <v>198</v>
      </c>
      <c r="AG145" t="s">
        <v>199</v>
      </c>
      <c r="AH145" s="33">
        <v>0.2164371490504835</v>
      </c>
      <c r="AI145" s="12">
        <v>7.3090430201931525E-2</v>
      </c>
      <c r="AJ145">
        <v>0</v>
      </c>
      <c r="AK145">
        <v>0</v>
      </c>
    </row>
    <row r="146" spans="1:37" ht="15.75" x14ac:dyDescent="0.25">
      <c r="A146" s="4">
        <v>145</v>
      </c>
      <c r="B146" t="s">
        <v>239</v>
      </c>
      <c r="C146" s="5" t="s">
        <v>164</v>
      </c>
      <c r="D146" s="5" t="s">
        <v>165</v>
      </c>
      <c r="E146" s="7">
        <v>33399</v>
      </c>
      <c r="F146" s="4" t="s">
        <v>241</v>
      </c>
      <c r="G146" s="6">
        <v>167</v>
      </c>
      <c r="H146" s="6">
        <v>164</v>
      </c>
      <c r="I146" s="6">
        <v>164</v>
      </c>
      <c r="J146" s="6">
        <v>495</v>
      </c>
      <c r="K146" s="6">
        <v>164</v>
      </c>
      <c r="L146" s="6">
        <v>164</v>
      </c>
      <c r="M146" s="6">
        <v>164</v>
      </c>
      <c r="N146" s="6">
        <v>492</v>
      </c>
      <c r="O146" s="6">
        <v>164</v>
      </c>
      <c r="P146" s="6">
        <v>164</v>
      </c>
      <c r="Q146" s="6">
        <v>164</v>
      </c>
      <c r="R146" s="6">
        <v>492</v>
      </c>
      <c r="S146" s="6">
        <v>164</v>
      </c>
      <c r="T146" s="6">
        <v>164</v>
      </c>
      <c r="U146" s="6">
        <v>164</v>
      </c>
      <c r="V146" s="6">
        <v>492</v>
      </c>
      <c r="W146" s="6">
        <v>164</v>
      </c>
      <c r="X146" s="6">
        <v>164</v>
      </c>
      <c r="Y146" s="6">
        <v>164</v>
      </c>
      <c r="Z146" s="6">
        <v>492</v>
      </c>
      <c r="AA146" s="4">
        <v>495</v>
      </c>
      <c r="AB146" s="25">
        <v>820</v>
      </c>
      <c r="AC146" s="25">
        <v>792</v>
      </c>
      <c r="AD146" s="25">
        <v>820</v>
      </c>
      <c r="AE146">
        <v>4434</v>
      </c>
      <c r="AF146" t="s">
        <v>199</v>
      </c>
      <c r="AG146" t="s">
        <v>198</v>
      </c>
      <c r="AH146" s="33">
        <v>0.56971462821072127</v>
      </c>
      <c r="AI146" s="12">
        <v>2.1832403083115008E-2</v>
      </c>
      <c r="AJ146">
        <v>0</v>
      </c>
      <c r="AK146">
        <v>0</v>
      </c>
    </row>
    <row r="147" spans="1:37" ht="15.75" x14ac:dyDescent="0.25">
      <c r="A147" s="4">
        <v>146</v>
      </c>
      <c r="B147" t="s">
        <v>239</v>
      </c>
      <c r="C147" s="5" t="s">
        <v>164</v>
      </c>
      <c r="D147" s="5" t="s">
        <v>166</v>
      </c>
      <c r="E147" s="7">
        <v>23442</v>
      </c>
      <c r="F147" s="4" t="s">
        <v>241</v>
      </c>
      <c r="G147" s="6">
        <v>138</v>
      </c>
      <c r="H147" s="6">
        <v>136</v>
      </c>
      <c r="I147" s="6">
        <v>136</v>
      </c>
      <c r="J147" s="6">
        <v>410</v>
      </c>
      <c r="K147" s="6">
        <v>136</v>
      </c>
      <c r="L147" s="6">
        <v>136</v>
      </c>
      <c r="M147" s="6">
        <v>136</v>
      </c>
      <c r="N147" s="6">
        <v>408</v>
      </c>
      <c r="O147" s="6">
        <v>136</v>
      </c>
      <c r="P147" s="6">
        <v>136</v>
      </c>
      <c r="Q147" s="6">
        <v>136</v>
      </c>
      <c r="R147" s="6">
        <v>408</v>
      </c>
      <c r="S147" s="6">
        <v>136</v>
      </c>
      <c r="T147" s="6">
        <v>136</v>
      </c>
      <c r="U147" s="6">
        <v>136</v>
      </c>
      <c r="V147" s="6">
        <v>408</v>
      </c>
      <c r="W147" s="6">
        <v>136</v>
      </c>
      <c r="X147" s="6">
        <v>136</v>
      </c>
      <c r="Y147" s="6">
        <v>136</v>
      </c>
      <c r="Z147" s="6">
        <v>408</v>
      </c>
      <c r="AA147" s="4">
        <v>410</v>
      </c>
      <c r="AB147" s="25">
        <v>680</v>
      </c>
      <c r="AC147" s="25">
        <v>679</v>
      </c>
      <c r="AD147" s="25">
        <v>680</v>
      </c>
      <c r="AE147">
        <v>3676</v>
      </c>
      <c r="AF147" t="s">
        <v>199</v>
      </c>
      <c r="AG147" t="s">
        <v>198</v>
      </c>
      <c r="AH147" s="33">
        <v>0.98278485741962951</v>
      </c>
      <c r="AI147" s="12">
        <v>0.1488997555012225</v>
      </c>
      <c r="AJ147">
        <v>0</v>
      </c>
      <c r="AK147">
        <v>0</v>
      </c>
    </row>
    <row r="148" spans="1:37" ht="15.75" x14ac:dyDescent="0.25">
      <c r="A148" s="4">
        <v>147</v>
      </c>
      <c r="B148" t="s">
        <v>239</v>
      </c>
      <c r="C148" s="5" t="s">
        <v>164</v>
      </c>
      <c r="D148" s="5" t="s">
        <v>167</v>
      </c>
      <c r="E148" s="7">
        <v>23443</v>
      </c>
      <c r="F148" s="4" t="s">
        <v>241</v>
      </c>
      <c r="G148" s="6">
        <v>135</v>
      </c>
      <c r="H148" s="6">
        <v>135</v>
      </c>
      <c r="I148" s="6">
        <v>135</v>
      </c>
      <c r="J148" s="6">
        <v>405</v>
      </c>
      <c r="K148" s="6">
        <v>124</v>
      </c>
      <c r="L148" s="6">
        <v>124</v>
      </c>
      <c r="M148" s="6">
        <v>124</v>
      </c>
      <c r="N148" s="6">
        <v>372</v>
      </c>
      <c r="O148" s="6">
        <v>124</v>
      </c>
      <c r="P148" s="6">
        <v>124</v>
      </c>
      <c r="Q148" s="6">
        <v>124</v>
      </c>
      <c r="R148" s="6">
        <v>372</v>
      </c>
      <c r="S148" s="6">
        <v>124</v>
      </c>
      <c r="T148" s="6">
        <v>124</v>
      </c>
      <c r="U148" s="6">
        <v>124</v>
      </c>
      <c r="V148" s="6">
        <v>372</v>
      </c>
      <c r="W148" s="6">
        <v>124</v>
      </c>
      <c r="X148" s="6">
        <v>124</v>
      </c>
      <c r="Y148" s="6">
        <v>124</v>
      </c>
      <c r="Z148" s="6">
        <v>372</v>
      </c>
      <c r="AA148" s="4">
        <v>405</v>
      </c>
      <c r="AB148" s="25">
        <v>631</v>
      </c>
      <c r="AC148" s="25">
        <v>951</v>
      </c>
      <c r="AD148" s="25">
        <v>631</v>
      </c>
      <c r="AE148">
        <v>3414</v>
      </c>
      <c r="AF148" t="s">
        <v>199</v>
      </c>
      <c r="AG148" t="s">
        <v>198</v>
      </c>
      <c r="AH148" s="33">
        <v>0.8460609554610049</v>
      </c>
      <c r="AI148" s="12">
        <v>3.5441705412755507E-2</v>
      </c>
      <c r="AJ148">
        <v>0</v>
      </c>
      <c r="AK148">
        <v>0</v>
      </c>
    </row>
    <row r="149" spans="1:37" ht="15.75" x14ac:dyDescent="0.25">
      <c r="A149" s="4">
        <v>148</v>
      </c>
      <c r="B149" t="s">
        <v>239</v>
      </c>
      <c r="C149" s="5" t="s">
        <v>164</v>
      </c>
      <c r="D149" s="5" t="s">
        <v>168</v>
      </c>
      <c r="E149" s="7">
        <v>7947</v>
      </c>
      <c r="F149" s="4" t="s">
        <v>240</v>
      </c>
      <c r="G149" s="6">
        <v>454</v>
      </c>
      <c r="H149" s="6">
        <v>455</v>
      </c>
      <c r="I149" s="6">
        <v>455</v>
      </c>
      <c r="J149" s="6">
        <v>1364</v>
      </c>
      <c r="K149" s="6">
        <v>455</v>
      </c>
      <c r="L149" s="6">
        <v>455</v>
      </c>
      <c r="M149" s="6">
        <v>455</v>
      </c>
      <c r="N149" s="6">
        <v>1365</v>
      </c>
      <c r="O149" s="6">
        <v>455</v>
      </c>
      <c r="P149" s="6">
        <v>455</v>
      </c>
      <c r="Q149" s="6">
        <v>455</v>
      </c>
      <c r="R149" s="6">
        <v>1365</v>
      </c>
      <c r="S149" s="6">
        <v>455</v>
      </c>
      <c r="T149" s="6">
        <v>455</v>
      </c>
      <c r="U149" s="6">
        <v>455</v>
      </c>
      <c r="V149" s="6">
        <v>1365</v>
      </c>
      <c r="W149" s="6">
        <v>455</v>
      </c>
      <c r="X149" s="6">
        <v>455</v>
      </c>
      <c r="Y149" s="6">
        <v>455</v>
      </c>
      <c r="Z149" s="6">
        <v>1365</v>
      </c>
      <c r="AA149" s="4">
        <v>1365</v>
      </c>
      <c r="AB149" s="25">
        <v>2275</v>
      </c>
      <c r="AC149" s="25">
        <v>2048</v>
      </c>
      <c r="AD149" s="25">
        <v>2275</v>
      </c>
      <c r="AE149">
        <v>12283</v>
      </c>
      <c r="AF149" t="s">
        <v>198</v>
      </c>
      <c r="AG149" t="s">
        <v>198</v>
      </c>
      <c r="AH149" s="33">
        <v>0.83893424361981894</v>
      </c>
      <c r="AI149" s="12">
        <v>0</v>
      </c>
      <c r="AJ149">
        <v>0</v>
      </c>
      <c r="AK149">
        <v>0</v>
      </c>
    </row>
    <row r="150" spans="1:37" ht="15.75" x14ac:dyDescent="0.25">
      <c r="A150" s="4">
        <v>149</v>
      </c>
      <c r="B150" t="s">
        <v>239</v>
      </c>
      <c r="C150" s="5" t="s">
        <v>164</v>
      </c>
      <c r="D150" s="5" t="s">
        <v>168</v>
      </c>
      <c r="E150" s="7">
        <v>7973</v>
      </c>
      <c r="F150" s="4" t="s">
        <v>240</v>
      </c>
      <c r="G150" s="6">
        <v>228</v>
      </c>
      <c r="H150" s="6">
        <v>228</v>
      </c>
      <c r="I150" s="6">
        <v>228</v>
      </c>
      <c r="J150" s="6">
        <v>684</v>
      </c>
      <c r="K150" s="6">
        <v>228</v>
      </c>
      <c r="L150" s="6">
        <v>228</v>
      </c>
      <c r="M150" s="6">
        <v>228</v>
      </c>
      <c r="N150" s="6">
        <v>684</v>
      </c>
      <c r="O150" s="6">
        <v>228</v>
      </c>
      <c r="P150" s="6">
        <v>228</v>
      </c>
      <c r="Q150" s="6">
        <v>228</v>
      </c>
      <c r="R150" s="6">
        <v>684</v>
      </c>
      <c r="S150" s="6">
        <v>228</v>
      </c>
      <c r="T150" s="6">
        <v>228</v>
      </c>
      <c r="U150" s="6">
        <v>228</v>
      </c>
      <c r="V150" s="6">
        <v>684</v>
      </c>
      <c r="W150" s="6">
        <v>228</v>
      </c>
      <c r="X150" s="6">
        <v>228</v>
      </c>
      <c r="Y150" s="6">
        <v>228</v>
      </c>
      <c r="Z150" s="6">
        <v>684</v>
      </c>
      <c r="AA150" s="4">
        <v>684</v>
      </c>
      <c r="AB150" s="25">
        <v>1140</v>
      </c>
      <c r="AC150" s="25">
        <v>1045</v>
      </c>
      <c r="AD150" s="25">
        <v>1140</v>
      </c>
      <c r="AE150">
        <v>6156</v>
      </c>
      <c r="AF150" t="s">
        <v>198</v>
      </c>
      <c r="AG150" t="s">
        <v>199</v>
      </c>
      <c r="AH150" s="33">
        <v>0.690906752557229</v>
      </c>
      <c r="AI150" s="12">
        <v>1.8403944599729907E-2</v>
      </c>
      <c r="AJ150">
        <v>0</v>
      </c>
      <c r="AK150">
        <v>0</v>
      </c>
    </row>
    <row r="151" spans="1:37" ht="15.75" x14ac:dyDescent="0.25">
      <c r="A151" s="4">
        <v>150</v>
      </c>
      <c r="B151" t="s">
        <v>239</v>
      </c>
      <c r="C151" s="5" t="s">
        <v>164</v>
      </c>
      <c r="D151" s="5" t="s">
        <v>168</v>
      </c>
      <c r="E151" s="7">
        <v>28847</v>
      </c>
      <c r="F151" s="4" t="s">
        <v>241</v>
      </c>
      <c r="G151" s="6">
        <v>133</v>
      </c>
      <c r="H151" s="6">
        <v>133</v>
      </c>
      <c r="I151" s="6">
        <v>133</v>
      </c>
      <c r="J151" s="6">
        <v>399</v>
      </c>
      <c r="K151" s="6">
        <v>133</v>
      </c>
      <c r="L151" s="6">
        <v>133</v>
      </c>
      <c r="M151" s="6">
        <v>133</v>
      </c>
      <c r="N151" s="6">
        <v>399</v>
      </c>
      <c r="O151" s="6">
        <v>133</v>
      </c>
      <c r="P151" s="6">
        <v>133</v>
      </c>
      <c r="Q151" s="6">
        <v>133</v>
      </c>
      <c r="R151" s="6">
        <v>399</v>
      </c>
      <c r="S151" s="6">
        <v>133</v>
      </c>
      <c r="T151" s="6">
        <v>133</v>
      </c>
      <c r="U151" s="6">
        <v>133</v>
      </c>
      <c r="V151" s="6">
        <v>399</v>
      </c>
      <c r="W151" s="6">
        <v>133</v>
      </c>
      <c r="X151" s="6">
        <v>133</v>
      </c>
      <c r="Y151" s="6">
        <v>133</v>
      </c>
      <c r="Z151" s="6">
        <v>399</v>
      </c>
      <c r="AA151" s="4">
        <v>399</v>
      </c>
      <c r="AB151" s="25">
        <v>665</v>
      </c>
      <c r="AC151" s="25">
        <v>613</v>
      </c>
      <c r="AD151" s="25">
        <v>665</v>
      </c>
      <c r="AE151">
        <v>3591</v>
      </c>
      <c r="AF151" t="s">
        <v>199</v>
      </c>
      <c r="AG151" t="s">
        <v>199</v>
      </c>
      <c r="AH151" s="33">
        <v>7.3249024615004377E-2</v>
      </c>
      <c r="AI151" s="12">
        <v>2.0277676287906467E-2</v>
      </c>
      <c r="AJ151">
        <v>0</v>
      </c>
      <c r="AK151">
        <v>0</v>
      </c>
    </row>
    <row r="152" spans="1:37" ht="15.75" x14ac:dyDescent="0.25">
      <c r="A152" s="4">
        <v>151</v>
      </c>
      <c r="B152" t="s">
        <v>239</v>
      </c>
      <c r="C152" s="5" t="s">
        <v>164</v>
      </c>
      <c r="D152" s="5" t="s">
        <v>169</v>
      </c>
      <c r="E152" s="7">
        <v>29042</v>
      </c>
      <c r="F152" s="4" t="s">
        <v>241</v>
      </c>
      <c r="G152" s="6">
        <v>81</v>
      </c>
      <c r="H152" s="6">
        <v>81</v>
      </c>
      <c r="I152" s="6">
        <v>81</v>
      </c>
      <c r="J152" s="6">
        <v>243</v>
      </c>
      <c r="K152" s="6">
        <v>81</v>
      </c>
      <c r="L152" s="6">
        <v>81</v>
      </c>
      <c r="M152" s="6">
        <v>81</v>
      </c>
      <c r="N152" s="6">
        <v>243</v>
      </c>
      <c r="O152" s="6">
        <v>81</v>
      </c>
      <c r="P152" s="6">
        <v>81</v>
      </c>
      <c r="Q152" s="6">
        <v>81</v>
      </c>
      <c r="R152" s="6">
        <v>243</v>
      </c>
      <c r="S152" s="6">
        <v>81</v>
      </c>
      <c r="T152" s="6">
        <v>81</v>
      </c>
      <c r="U152" s="6">
        <v>81</v>
      </c>
      <c r="V152" s="6">
        <v>243</v>
      </c>
      <c r="W152" s="6">
        <v>81</v>
      </c>
      <c r="X152" s="6">
        <v>81</v>
      </c>
      <c r="Y152" s="6">
        <v>81</v>
      </c>
      <c r="Z152" s="6">
        <v>243</v>
      </c>
      <c r="AA152" s="4">
        <v>243</v>
      </c>
      <c r="AB152" s="25">
        <v>405</v>
      </c>
      <c r="AC152" s="25">
        <v>1229</v>
      </c>
      <c r="AD152" s="25">
        <v>405</v>
      </c>
      <c r="AE152">
        <v>2187</v>
      </c>
      <c r="AF152" t="s">
        <v>199</v>
      </c>
      <c r="AG152" t="s">
        <v>199</v>
      </c>
      <c r="AH152" s="33">
        <v>0.85331287455515359</v>
      </c>
      <c r="AI152" s="12">
        <v>4.9212098106493837E-2</v>
      </c>
      <c r="AJ152">
        <v>1</v>
      </c>
      <c r="AK152">
        <v>0</v>
      </c>
    </row>
    <row r="153" spans="1:37" ht="15.75" x14ac:dyDescent="0.25">
      <c r="A153" s="4">
        <v>152</v>
      </c>
      <c r="B153" t="s">
        <v>239</v>
      </c>
      <c r="C153" s="5" t="s">
        <v>164</v>
      </c>
      <c r="D153" s="5" t="s">
        <v>170</v>
      </c>
      <c r="E153" s="7">
        <v>14090</v>
      </c>
      <c r="F153" s="4" t="s">
        <v>240</v>
      </c>
      <c r="G153" s="6">
        <v>905</v>
      </c>
      <c r="H153" s="6">
        <v>905</v>
      </c>
      <c r="I153" s="6">
        <v>905</v>
      </c>
      <c r="J153" s="6">
        <v>2715</v>
      </c>
      <c r="K153" s="6">
        <v>905</v>
      </c>
      <c r="L153" s="6">
        <v>905</v>
      </c>
      <c r="M153" s="6">
        <v>905</v>
      </c>
      <c r="N153" s="6">
        <v>2715</v>
      </c>
      <c r="O153" s="6">
        <v>905</v>
      </c>
      <c r="P153" s="6">
        <v>905</v>
      </c>
      <c r="Q153" s="6">
        <v>905</v>
      </c>
      <c r="R153" s="6">
        <v>2715</v>
      </c>
      <c r="S153" s="6">
        <v>905</v>
      </c>
      <c r="T153" s="6">
        <v>905</v>
      </c>
      <c r="U153" s="6">
        <v>905</v>
      </c>
      <c r="V153" s="6">
        <v>2715</v>
      </c>
      <c r="W153" s="6">
        <v>905</v>
      </c>
      <c r="X153" s="6">
        <v>905</v>
      </c>
      <c r="Y153" s="6">
        <v>905</v>
      </c>
      <c r="Z153" s="6">
        <v>2715</v>
      </c>
      <c r="AA153" s="4">
        <v>2715</v>
      </c>
      <c r="AB153" s="25">
        <v>4525</v>
      </c>
      <c r="AC153" s="25">
        <v>3870</v>
      </c>
      <c r="AD153" s="25">
        <v>4525</v>
      </c>
      <c r="AE153">
        <v>24435</v>
      </c>
      <c r="AF153" t="s">
        <v>199</v>
      </c>
      <c r="AG153" t="s">
        <v>198</v>
      </c>
      <c r="AH153" s="33">
        <v>0.99834510321857406</v>
      </c>
      <c r="AI153" s="12">
        <v>0</v>
      </c>
      <c r="AJ153">
        <v>0</v>
      </c>
      <c r="AK153">
        <v>0</v>
      </c>
    </row>
    <row r="154" spans="1:37" ht="15.75" x14ac:dyDescent="0.25">
      <c r="A154" s="4">
        <v>153</v>
      </c>
      <c r="B154" t="s">
        <v>239</v>
      </c>
      <c r="C154" s="5" t="s">
        <v>164</v>
      </c>
      <c r="D154" s="5" t="s">
        <v>171</v>
      </c>
      <c r="E154" s="7">
        <v>9697</v>
      </c>
      <c r="F154" s="4" t="s">
        <v>241</v>
      </c>
      <c r="G154" s="6">
        <v>250</v>
      </c>
      <c r="H154" s="6">
        <v>250</v>
      </c>
      <c r="I154" s="6">
        <v>250</v>
      </c>
      <c r="J154" s="6">
        <v>750</v>
      </c>
      <c r="K154" s="6">
        <v>250</v>
      </c>
      <c r="L154" s="6">
        <v>250</v>
      </c>
      <c r="M154" s="6">
        <v>250</v>
      </c>
      <c r="N154" s="6">
        <v>750</v>
      </c>
      <c r="O154" s="6">
        <v>250</v>
      </c>
      <c r="P154" s="6">
        <v>250</v>
      </c>
      <c r="Q154" s="6">
        <v>250</v>
      </c>
      <c r="R154" s="6">
        <v>750</v>
      </c>
      <c r="S154" s="6">
        <v>250</v>
      </c>
      <c r="T154" s="6">
        <v>250</v>
      </c>
      <c r="U154" s="6">
        <v>250</v>
      </c>
      <c r="V154" s="6">
        <v>750</v>
      </c>
      <c r="W154" s="6">
        <v>250</v>
      </c>
      <c r="X154" s="6">
        <v>250</v>
      </c>
      <c r="Y154" s="6">
        <v>250</v>
      </c>
      <c r="Z154" s="6">
        <v>750</v>
      </c>
      <c r="AA154" s="4">
        <v>750</v>
      </c>
      <c r="AB154" s="25">
        <v>1250</v>
      </c>
      <c r="AC154" s="25">
        <v>1234</v>
      </c>
      <c r="AD154" s="25">
        <v>1250</v>
      </c>
      <c r="AE154">
        <v>6750</v>
      </c>
      <c r="AF154" t="s">
        <v>199</v>
      </c>
      <c r="AG154" t="s">
        <v>199</v>
      </c>
      <c r="AH154" s="33">
        <v>0.49554359376498369</v>
      </c>
      <c r="AI154" s="12">
        <v>6.4568306010928958E-2</v>
      </c>
      <c r="AJ154">
        <v>0</v>
      </c>
      <c r="AK154">
        <v>0</v>
      </c>
    </row>
    <row r="155" spans="1:37" ht="15.75" x14ac:dyDescent="0.25">
      <c r="A155" s="4">
        <v>154</v>
      </c>
      <c r="B155" t="s">
        <v>239</v>
      </c>
      <c r="C155" s="5" t="s">
        <v>164</v>
      </c>
      <c r="D155" s="5" t="s">
        <v>172</v>
      </c>
      <c r="E155" s="7">
        <v>9669</v>
      </c>
      <c r="F155" s="4" t="s">
        <v>241</v>
      </c>
      <c r="G155" s="6">
        <v>234</v>
      </c>
      <c r="H155" s="6">
        <v>234</v>
      </c>
      <c r="I155" s="6">
        <v>234</v>
      </c>
      <c r="J155" s="6">
        <v>702</v>
      </c>
      <c r="K155" s="6">
        <v>234</v>
      </c>
      <c r="L155" s="6">
        <v>234</v>
      </c>
      <c r="M155" s="6">
        <v>234</v>
      </c>
      <c r="N155" s="6">
        <v>702</v>
      </c>
      <c r="O155" s="6">
        <v>234</v>
      </c>
      <c r="P155" s="6">
        <v>234</v>
      </c>
      <c r="Q155" s="6">
        <v>234</v>
      </c>
      <c r="R155" s="6">
        <v>702</v>
      </c>
      <c r="S155" s="6">
        <v>234</v>
      </c>
      <c r="T155" s="6">
        <v>234</v>
      </c>
      <c r="U155" s="6">
        <v>234</v>
      </c>
      <c r="V155" s="6">
        <v>702</v>
      </c>
      <c r="W155" s="6">
        <v>234</v>
      </c>
      <c r="X155" s="6">
        <v>234</v>
      </c>
      <c r="Y155" s="6">
        <v>234</v>
      </c>
      <c r="Z155" s="6">
        <v>702</v>
      </c>
      <c r="AA155" s="4">
        <v>702</v>
      </c>
      <c r="AB155" s="25">
        <v>1170</v>
      </c>
      <c r="AC155" s="25">
        <v>1138</v>
      </c>
      <c r="AD155" s="25">
        <v>1170</v>
      </c>
      <c r="AE155">
        <v>6318</v>
      </c>
      <c r="AF155" t="s">
        <v>199</v>
      </c>
      <c r="AG155" t="s">
        <v>199</v>
      </c>
      <c r="AH155" s="33">
        <v>0.26181458418931414</v>
      </c>
      <c r="AI155" s="12">
        <v>0</v>
      </c>
      <c r="AJ155">
        <v>0</v>
      </c>
      <c r="AK155">
        <v>0</v>
      </c>
    </row>
    <row r="156" spans="1:37" ht="15.75" x14ac:dyDescent="0.25">
      <c r="A156" s="4">
        <v>155</v>
      </c>
      <c r="B156" t="s">
        <v>239</v>
      </c>
      <c r="C156" s="5" t="s">
        <v>164</v>
      </c>
      <c r="D156" s="5" t="s">
        <v>172</v>
      </c>
      <c r="E156" s="7">
        <v>23445</v>
      </c>
      <c r="F156" s="4" t="s">
        <v>241</v>
      </c>
      <c r="G156" s="6">
        <v>202</v>
      </c>
      <c r="H156" s="6">
        <v>202</v>
      </c>
      <c r="I156" s="6">
        <v>202</v>
      </c>
      <c r="J156" s="6">
        <v>606</v>
      </c>
      <c r="K156" s="6">
        <v>202</v>
      </c>
      <c r="L156" s="6">
        <v>202</v>
      </c>
      <c r="M156" s="6">
        <v>202</v>
      </c>
      <c r="N156" s="6">
        <v>606</v>
      </c>
      <c r="O156" s="6">
        <v>202</v>
      </c>
      <c r="P156" s="6">
        <v>202</v>
      </c>
      <c r="Q156" s="6">
        <v>202</v>
      </c>
      <c r="R156" s="6">
        <v>606</v>
      </c>
      <c r="S156" s="6">
        <v>202</v>
      </c>
      <c r="T156" s="6">
        <v>202</v>
      </c>
      <c r="U156" s="6">
        <v>202</v>
      </c>
      <c r="V156" s="6">
        <v>606</v>
      </c>
      <c r="W156" s="6">
        <v>202</v>
      </c>
      <c r="X156" s="6">
        <v>202</v>
      </c>
      <c r="Y156" s="6">
        <v>202</v>
      </c>
      <c r="Z156" s="6">
        <v>606</v>
      </c>
      <c r="AA156" s="4">
        <v>606</v>
      </c>
      <c r="AB156" s="25">
        <v>1010</v>
      </c>
      <c r="AC156" s="25">
        <v>941</v>
      </c>
      <c r="AD156" s="25">
        <v>1010</v>
      </c>
      <c r="AE156">
        <v>5454</v>
      </c>
      <c r="AF156" t="s">
        <v>199</v>
      </c>
      <c r="AG156" t="s">
        <v>199</v>
      </c>
      <c r="AH156" s="33">
        <v>0.21176344779825251</v>
      </c>
      <c r="AI156" s="12">
        <v>0</v>
      </c>
      <c r="AJ156">
        <v>0</v>
      </c>
      <c r="AK156">
        <v>0</v>
      </c>
    </row>
    <row r="157" spans="1:37" ht="15.75" x14ac:dyDescent="0.25">
      <c r="A157" s="4">
        <v>156</v>
      </c>
      <c r="B157" t="s">
        <v>239</v>
      </c>
      <c r="C157" s="5" t="s">
        <v>164</v>
      </c>
      <c r="D157" s="5" t="s">
        <v>172</v>
      </c>
      <c r="E157" s="7">
        <v>15806</v>
      </c>
      <c r="F157" s="4" t="s">
        <v>241</v>
      </c>
      <c r="G157" s="6">
        <v>133</v>
      </c>
      <c r="H157" s="6">
        <v>133</v>
      </c>
      <c r="I157" s="6">
        <v>133</v>
      </c>
      <c r="J157" s="6">
        <v>399</v>
      </c>
      <c r="K157" s="6">
        <v>123</v>
      </c>
      <c r="L157" s="6">
        <v>123</v>
      </c>
      <c r="M157" s="6">
        <v>123</v>
      </c>
      <c r="N157" s="6">
        <v>369</v>
      </c>
      <c r="O157" s="6">
        <v>123</v>
      </c>
      <c r="P157" s="6">
        <v>123</v>
      </c>
      <c r="Q157" s="6">
        <v>123</v>
      </c>
      <c r="R157" s="6">
        <v>369</v>
      </c>
      <c r="S157" s="6">
        <v>123</v>
      </c>
      <c r="T157" s="6">
        <v>123</v>
      </c>
      <c r="U157" s="6">
        <v>123</v>
      </c>
      <c r="V157" s="6">
        <v>369</v>
      </c>
      <c r="W157" s="6">
        <v>123</v>
      </c>
      <c r="X157" s="6">
        <v>123</v>
      </c>
      <c r="Y157" s="6">
        <v>123</v>
      </c>
      <c r="Z157" s="6">
        <v>369</v>
      </c>
      <c r="AA157" s="4">
        <v>399</v>
      </c>
      <c r="AB157" s="25">
        <v>625</v>
      </c>
      <c r="AC157" s="25">
        <v>950</v>
      </c>
      <c r="AD157" s="25">
        <v>625</v>
      </c>
      <c r="AE157">
        <v>3381</v>
      </c>
      <c r="AF157" t="s">
        <v>199</v>
      </c>
      <c r="AG157" t="s">
        <v>199</v>
      </c>
      <c r="AH157" s="33">
        <v>0.62509346482308548</v>
      </c>
      <c r="AI157" s="12">
        <v>6.2053911717829674E-2</v>
      </c>
      <c r="AJ157">
        <v>0</v>
      </c>
      <c r="AK157">
        <v>0</v>
      </c>
    </row>
    <row r="158" spans="1:37" ht="15.75" x14ac:dyDescent="0.25">
      <c r="A158" s="4">
        <v>157</v>
      </c>
      <c r="B158" t="s">
        <v>239</v>
      </c>
      <c r="C158" s="5" t="s">
        <v>164</v>
      </c>
      <c r="D158" s="5" t="s">
        <v>173</v>
      </c>
      <c r="E158" s="7">
        <v>4404</v>
      </c>
      <c r="F158" s="4" t="s">
        <v>240</v>
      </c>
      <c r="G158" s="6">
        <v>458</v>
      </c>
      <c r="H158" s="6">
        <v>458</v>
      </c>
      <c r="I158" s="6">
        <v>458</v>
      </c>
      <c r="J158" s="6">
        <v>1374</v>
      </c>
      <c r="K158" s="6">
        <v>458</v>
      </c>
      <c r="L158" s="6">
        <v>458</v>
      </c>
      <c r="M158" s="6">
        <v>458</v>
      </c>
      <c r="N158" s="6">
        <v>1374</v>
      </c>
      <c r="O158" s="6">
        <v>458</v>
      </c>
      <c r="P158" s="6">
        <v>458</v>
      </c>
      <c r="Q158" s="6">
        <v>458</v>
      </c>
      <c r="R158" s="6">
        <v>1374</v>
      </c>
      <c r="S158" s="6">
        <v>458</v>
      </c>
      <c r="T158" s="6">
        <v>458</v>
      </c>
      <c r="U158" s="6">
        <v>458</v>
      </c>
      <c r="V158" s="6">
        <v>1374</v>
      </c>
      <c r="W158" s="6">
        <v>457</v>
      </c>
      <c r="X158" s="6">
        <v>458</v>
      </c>
      <c r="Y158" s="6">
        <v>458</v>
      </c>
      <c r="Z158" s="6">
        <v>1373</v>
      </c>
      <c r="AA158" s="4">
        <v>1374</v>
      </c>
      <c r="AB158" s="25">
        <v>2289</v>
      </c>
      <c r="AC158" s="25">
        <v>1939</v>
      </c>
      <c r="AD158" s="25">
        <v>2290</v>
      </c>
      <c r="AE158">
        <v>12365</v>
      </c>
      <c r="AF158" t="s">
        <v>199</v>
      </c>
      <c r="AG158" t="s">
        <v>199</v>
      </c>
      <c r="AH158" s="33">
        <v>0.59019111343671882</v>
      </c>
      <c r="AI158" s="12">
        <v>4.1400026119890299E-2</v>
      </c>
      <c r="AJ158">
        <v>0</v>
      </c>
      <c r="AK158">
        <v>0</v>
      </c>
    </row>
    <row r="159" spans="1:37" ht="15.75" x14ac:dyDescent="0.25">
      <c r="A159" s="4">
        <v>158</v>
      </c>
      <c r="B159" t="s">
        <v>239</v>
      </c>
      <c r="C159" s="5" t="s">
        <v>164</v>
      </c>
      <c r="D159" s="5" t="s">
        <v>174</v>
      </c>
      <c r="E159" s="30">
        <v>9694</v>
      </c>
      <c r="F159" s="4" t="s">
        <v>241</v>
      </c>
      <c r="G159" s="6">
        <v>107</v>
      </c>
      <c r="H159" s="6">
        <v>107</v>
      </c>
      <c r="I159" s="6">
        <v>107</v>
      </c>
      <c r="J159" s="6">
        <v>321</v>
      </c>
      <c r="K159" s="6">
        <v>107</v>
      </c>
      <c r="L159" s="6">
        <v>107</v>
      </c>
      <c r="M159" s="6">
        <v>107</v>
      </c>
      <c r="N159" s="6">
        <v>321</v>
      </c>
      <c r="O159" s="6">
        <v>107</v>
      </c>
      <c r="P159" s="6">
        <v>107</v>
      </c>
      <c r="Q159" s="6">
        <v>107</v>
      </c>
      <c r="R159" s="6">
        <v>321</v>
      </c>
      <c r="S159" s="6">
        <v>107</v>
      </c>
      <c r="T159" s="6">
        <v>107</v>
      </c>
      <c r="U159" s="6">
        <v>107</v>
      </c>
      <c r="V159" s="6">
        <v>321</v>
      </c>
      <c r="W159" s="6">
        <v>107</v>
      </c>
      <c r="X159" s="6">
        <v>107</v>
      </c>
      <c r="Y159" s="6">
        <v>107</v>
      </c>
      <c r="Z159" s="6">
        <v>321</v>
      </c>
      <c r="AA159" s="4">
        <v>321</v>
      </c>
      <c r="AB159" s="25">
        <v>535</v>
      </c>
      <c r="AC159" s="25">
        <v>1476</v>
      </c>
      <c r="AD159" s="25">
        <v>535</v>
      </c>
      <c r="AE159">
        <v>2889</v>
      </c>
      <c r="AF159" t="s">
        <v>198</v>
      </c>
      <c r="AG159" t="s">
        <v>198</v>
      </c>
      <c r="AH159" s="33">
        <v>0.61238839086937236</v>
      </c>
      <c r="AI159" s="12">
        <v>0.12173727000427899</v>
      </c>
      <c r="AJ159">
        <v>0</v>
      </c>
      <c r="AK159">
        <v>0</v>
      </c>
    </row>
    <row r="160" spans="1:37" ht="15.75" x14ac:dyDescent="0.25">
      <c r="A160" s="4">
        <v>159</v>
      </c>
      <c r="B160" t="s">
        <v>239</v>
      </c>
      <c r="C160" s="5" t="s">
        <v>164</v>
      </c>
      <c r="D160" s="5" t="s">
        <v>175</v>
      </c>
      <c r="E160" s="30">
        <v>7949</v>
      </c>
      <c r="F160" s="4" t="s">
        <v>242</v>
      </c>
      <c r="G160" s="6">
        <v>1047</v>
      </c>
      <c r="H160" s="6">
        <v>1048</v>
      </c>
      <c r="I160" s="6">
        <v>1048</v>
      </c>
      <c r="J160" s="6">
        <v>3143</v>
      </c>
      <c r="K160" s="6">
        <v>1048</v>
      </c>
      <c r="L160" s="6">
        <v>1048</v>
      </c>
      <c r="M160" s="6">
        <v>1048</v>
      </c>
      <c r="N160" s="6">
        <v>3144</v>
      </c>
      <c r="O160" s="6">
        <v>1048</v>
      </c>
      <c r="P160" s="6">
        <v>1048</v>
      </c>
      <c r="Q160" s="6">
        <v>1048</v>
      </c>
      <c r="R160" s="6">
        <v>3144</v>
      </c>
      <c r="S160" s="6">
        <v>1048</v>
      </c>
      <c r="T160" s="6">
        <v>1048</v>
      </c>
      <c r="U160" s="6">
        <v>1048</v>
      </c>
      <c r="V160" s="6">
        <v>3144</v>
      </c>
      <c r="W160" s="6">
        <v>1047</v>
      </c>
      <c r="X160" s="6">
        <v>1048</v>
      </c>
      <c r="Y160" s="6">
        <v>1048</v>
      </c>
      <c r="Z160" s="6">
        <v>3143</v>
      </c>
      <c r="AA160" s="4">
        <v>3144</v>
      </c>
      <c r="AB160" s="25">
        <v>5239</v>
      </c>
      <c r="AC160" s="25">
        <v>4873</v>
      </c>
      <c r="AD160" s="25">
        <v>5240</v>
      </c>
      <c r="AE160">
        <v>28293</v>
      </c>
      <c r="AF160" t="s">
        <v>198</v>
      </c>
      <c r="AG160" t="s">
        <v>199</v>
      </c>
      <c r="AH160" s="33">
        <v>0.44160779473746603</v>
      </c>
      <c r="AI160" s="12">
        <v>0</v>
      </c>
      <c r="AJ160">
        <v>0</v>
      </c>
      <c r="AK160">
        <v>0</v>
      </c>
    </row>
    <row r="161" spans="1:37" ht="15.75" x14ac:dyDescent="0.25">
      <c r="A161" s="4">
        <v>160</v>
      </c>
      <c r="B161" t="s">
        <v>239</v>
      </c>
      <c r="C161" s="5" t="s">
        <v>164</v>
      </c>
      <c r="D161" s="5" t="s">
        <v>176</v>
      </c>
      <c r="E161" s="7">
        <v>13305</v>
      </c>
      <c r="F161" s="4" t="s">
        <v>240</v>
      </c>
      <c r="G161" s="6">
        <v>681</v>
      </c>
      <c r="H161" s="6">
        <v>681</v>
      </c>
      <c r="I161" s="6">
        <v>681</v>
      </c>
      <c r="J161" s="6">
        <v>2043</v>
      </c>
      <c r="K161" s="6">
        <v>681</v>
      </c>
      <c r="L161" s="6">
        <v>681</v>
      </c>
      <c r="M161" s="6">
        <v>681</v>
      </c>
      <c r="N161" s="6">
        <v>2043</v>
      </c>
      <c r="O161" s="6">
        <v>681</v>
      </c>
      <c r="P161" s="6">
        <v>681</v>
      </c>
      <c r="Q161" s="6">
        <v>681</v>
      </c>
      <c r="R161" s="6">
        <v>2043</v>
      </c>
      <c r="S161" s="6">
        <v>681</v>
      </c>
      <c r="T161" s="6">
        <v>681</v>
      </c>
      <c r="U161" s="6">
        <v>681</v>
      </c>
      <c r="V161" s="6">
        <v>2043</v>
      </c>
      <c r="W161" s="6">
        <v>681</v>
      </c>
      <c r="X161" s="6">
        <v>681</v>
      </c>
      <c r="Y161" s="6">
        <v>681</v>
      </c>
      <c r="Z161" s="6">
        <v>2043</v>
      </c>
      <c r="AA161" s="4">
        <v>2043</v>
      </c>
      <c r="AB161" s="25">
        <v>3405</v>
      </c>
      <c r="AC161" s="25">
        <v>3178</v>
      </c>
      <c r="AD161" s="25">
        <v>3405</v>
      </c>
      <c r="AE161">
        <v>18387</v>
      </c>
      <c r="AF161" t="s">
        <v>198</v>
      </c>
      <c r="AG161" t="s">
        <v>198</v>
      </c>
      <c r="AH161" s="33">
        <v>0.87365050567807689</v>
      </c>
      <c r="AI161" s="12">
        <v>0</v>
      </c>
      <c r="AJ161">
        <v>0</v>
      </c>
      <c r="AK161">
        <v>0</v>
      </c>
    </row>
    <row r="162" spans="1:37" ht="15.75" x14ac:dyDescent="0.25">
      <c r="A162" s="4">
        <v>161</v>
      </c>
      <c r="B162" t="s">
        <v>239</v>
      </c>
      <c r="C162" s="5" t="s">
        <v>164</v>
      </c>
      <c r="D162" s="5" t="s">
        <v>176</v>
      </c>
      <c r="E162" s="7">
        <v>38756</v>
      </c>
      <c r="F162" s="4" t="s">
        <v>240</v>
      </c>
      <c r="G162" s="6">
        <v>454</v>
      </c>
      <c r="H162" s="6">
        <v>454</v>
      </c>
      <c r="I162" s="6">
        <v>454</v>
      </c>
      <c r="J162" s="6">
        <v>1362</v>
      </c>
      <c r="K162" s="6">
        <v>454</v>
      </c>
      <c r="L162" s="6">
        <v>454</v>
      </c>
      <c r="M162" s="6">
        <v>454</v>
      </c>
      <c r="N162" s="6">
        <v>1362</v>
      </c>
      <c r="O162" s="6">
        <v>454</v>
      </c>
      <c r="P162" s="6">
        <v>454</v>
      </c>
      <c r="Q162" s="6">
        <v>454</v>
      </c>
      <c r="R162" s="6">
        <v>1362</v>
      </c>
      <c r="S162" s="6">
        <v>454</v>
      </c>
      <c r="T162" s="6">
        <v>454</v>
      </c>
      <c r="U162" s="6">
        <v>454</v>
      </c>
      <c r="V162" s="6">
        <v>1362</v>
      </c>
      <c r="W162" s="6">
        <v>454</v>
      </c>
      <c r="X162" s="6">
        <v>454</v>
      </c>
      <c r="Y162" s="6">
        <v>454</v>
      </c>
      <c r="Z162" s="6">
        <v>1362</v>
      </c>
      <c r="AA162" s="4">
        <v>1362</v>
      </c>
      <c r="AB162" s="25">
        <v>2270</v>
      </c>
      <c r="AC162" s="25">
        <v>2145</v>
      </c>
      <c r="AD162" s="25">
        <v>2270</v>
      </c>
      <c r="AE162">
        <v>12258</v>
      </c>
      <c r="AF162" t="s">
        <v>198</v>
      </c>
      <c r="AG162" t="s">
        <v>198</v>
      </c>
      <c r="AH162" s="33">
        <v>0.73224191656774684</v>
      </c>
      <c r="AI162" s="12">
        <v>3.9723249433377072E-2</v>
      </c>
      <c r="AJ162">
        <v>0</v>
      </c>
      <c r="AK162">
        <v>0</v>
      </c>
    </row>
    <row r="163" spans="1:37" ht="15.75" x14ac:dyDescent="0.25">
      <c r="A163" s="4">
        <v>162</v>
      </c>
      <c r="B163" t="s">
        <v>239</v>
      </c>
      <c r="C163" s="5" t="s">
        <v>164</v>
      </c>
      <c r="D163" s="5" t="s">
        <v>176</v>
      </c>
      <c r="E163" s="30">
        <v>23466</v>
      </c>
      <c r="F163" s="4" t="s">
        <v>241</v>
      </c>
      <c r="G163" s="6">
        <v>329</v>
      </c>
      <c r="H163" s="6">
        <v>329</v>
      </c>
      <c r="I163" s="6">
        <v>329</v>
      </c>
      <c r="J163" s="6">
        <v>987</v>
      </c>
      <c r="K163" s="6">
        <v>329</v>
      </c>
      <c r="L163" s="6">
        <v>329</v>
      </c>
      <c r="M163" s="6">
        <v>329</v>
      </c>
      <c r="N163" s="6">
        <v>987</v>
      </c>
      <c r="O163" s="6">
        <v>330</v>
      </c>
      <c r="P163" s="6">
        <v>330</v>
      </c>
      <c r="Q163" s="6">
        <v>330</v>
      </c>
      <c r="R163" s="6">
        <v>990</v>
      </c>
      <c r="S163" s="6">
        <v>330</v>
      </c>
      <c r="T163" s="6">
        <v>330</v>
      </c>
      <c r="U163" s="6">
        <v>330</v>
      </c>
      <c r="V163" s="6">
        <v>990</v>
      </c>
      <c r="W163" s="6">
        <v>330</v>
      </c>
      <c r="X163" s="6">
        <v>330</v>
      </c>
      <c r="Y163" s="6">
        <v>330</v>
      </c>
      <c r="Z163" s="6">
        <v>990</v>
      </c>
      <c r="AA163" s="4">
        <v>990</v>
      </c>
      <c r="AB163" s="25">
        <v>1648</v>
      </c>
      <c r="AC163" s="25">
        <v>1549</v>
      </c>
      <c r="AD163" s="25">
        <v>1648</v>
      </c>
      <c r="AE163">
        <v>8898</v>
      </c>
      <c r="AF163" t="s">
        <v>199</v>
      </c>
      <c r="AG163" t="s">
        <v>199</v>
      </c>
      <c r="AH163" s="33">
        <v>0.68608395213771511</v>
      </c>
      <c r="AI163" s="12">
        <v>1.773210875693371E-2</v>
      </c>
      <c r="AJ163">
        <v>1</v>
      </c>
      <c r="AK163">
        <v>0</v>
      </c>
    </row>
    <row r="164" spans="1:37" ht="15.75" x14ac:dyDescent="0.25">
      <c r="A164" s="4">
        <v>163</v>
      </c>
      <c r="B164" t="s">
        <v>239</v>
      </c>
      <c r="C164" s="5" t="s">
        <v>164</v>
      </c>
      <c r="D164" s="5" t="s">
        <v>176</v>
      </c>
      <c r="E164" s="7">
        <v>116</v>
      </c>
      <c r="F164" s="4" t="s">
        <v>241</v>
      </c>
      <c r="G164" s="6">
        <v>230</v>
      </c>
      <c r="H164" s="6">
        <v>230</v>
      </c>
      <c r="I164" s="6">
        <v>230</v>
      </c>
      <c r="J164" s="6">
        <v>690</v>
      </c>
      <c r="K164" s="6">
        <v>233</v>
      </c>
      <c r="L164" s="6">
        <v>233</v>
      </c>
      <c r="M164" s="6">
        <v>233</v>
      </c>
      <c r="N164" s="6">
        <v>699</v>
      </c>
      <c r="O164" s="6">
        <v>233</v>
      </c>
      <c r="P164" s="6">
        <v>233</v>
      </c>
      <c r="Q164" s="6">
        <v>233</v>
      </c>
      <c r="R164" s="6">
        <v>699</v>
      </c>
      <c r="S164" s="6">
        <v>233</v>
      </c>
      <c r="T164" s="6">
        <v>233</v>
      </c>
      <c r="U164" s="6">
        <v>233</v>
      </c>
      <c r="V164" s="6">
        <v>699</v>
      </c>
      <c r="W164" s="6">
        <v>233</v>
      </c>
      <c r="X164" s="6">
        <v>233</v>
      </c>
      <c r="Y164" s="6">
        <v>233</v>
      </c>
      <c r="Z164" s="6">
        <v>699</v>
      </c>
      <c r="AA164" s="4">
        <v>699</v>
      </c>
      <c r="AB164" s="25">
        <v>1162</v>
      </c>
      <c r="AC164" s="25">
        <v>1387</v>
      </c>
      <c r="AD164" s="25">
        <v>1162</v>
      </c>
      <c r="AE164">
        <v>6273</v>
      </c>
      <c r="AF164" t="s">
        <v>198</v>
      </c>
      <c r="AG164" t="s">
        <v>199</v>
      </c>
      <c r="AH164" s="33">
        <v>0.73548826221858776</v>
      </c>
      <c r="AI164" s="12" t="e">
        <v>#N/A</v>
      </c>
      <c r="AJ164">
        <v>0</v>
      </c>
      <c r="AK164">
        <v>0</v>
      </c>
    </row>
    <row r="165" spans="1:37" ht="15.75" x14ac:dyDescent="0.25">
      <c r="A165" s="4">
        <v>164</v>
      </c>
      <c r="B165" t="s">
        <v>239</v>
      </c>
      <c r="C165" s="5" t="s">
        <v>164</v>
      </c>
      <c r="D165" s="5" t="s">
        <v>177</v>
      </c>
      <c r="E165" s="7">
        <v>33952</v>
      </c>
      <c r="F165" s="4" t="s">
        <v>240</v>
      </c>
      <c r="G165" s="6">
        <v>455</v>
      </c>
      <c r="H165" s="6">
        <v>455</v>
      </c>
      <c r="I165" s="6">
        <v>455</v>
      </c>
      <c r="J165" s="6">
        <v>1365</v>
      </c>
      <c r="K165" s="6">
        <v>455</v>
      </c>
      <c r="L165" s="6">
        <v>455</v>
      </c>
      <c r="M165" s="6">
        <v>455</v>
      </c>
      <c r="N165" s="6">
        <v>1365</v>
      </c>
      <c r="O165" s="6">
        <v>455</v>
      </c>
      <c r="P165" s="6">
        <v>455</v>
      </c>
      <c r="Q165" s="6">
        <v>455</v>
      </c>
      <c r="R165" s="6">
        <v>1365</v>
      </c>
      <c r="S165" s="6">
        <v>455</v>
      </c>
      <c r="T165" s="6">
        <v>455</v>
      </c>
      <c r="U165" s="6">
        <v>455</v>
      </c>
      <c r="V165" s="6">
        <v>1365</v>
      </c>
      <c r="W165" s="6">
        <v>455</v>
      </c>
      <c r="X165" s="6">
        <v>455</v>
      </c>
      <c r="Y165" s="6">
        <v>455</v>
      </c>
      <c r="Z165" s="6">
        <v>1365</v>
      </c>
      <c r="AA165" s="4">
        <v>1365</v>
      </c>
      <c r="AB165" s="25">
        <v>2275</v>
      </c>
      <c r="AC165" s="25">
        <v>1921</v>
      </c>
      <c r="AD165" s="25">
        <v>2275</v>
      </c>
      <c r="AE165">
        <v>12285</v>
      </c>
      <c r="AF165" t="s">
        <v>198</v>
      </c>
      <c r="AG165" t="s">
        <v>198</v>
      </c>
      <c r="AH165" s="33">
        <v>0.15597104820928254</v>
      </c>
      <c r="AI165" s="12">
        <v>0</v>
      </c>
      <c r="AJ165">
        <v>0</v>
      </c>
      <c r="AK165">
        <v>0</v>
      </c>
    </row>
    <row r="166" spans="1:37" ht="15.75" x14ac:dyDescent="0.25">
      <c r="A166" s="4">
        <v>165</v>
      </c>
      <c r="B166" t="s">
        <v>239</v>
      </c>
      <c r="C166" s="5" t="s">
        <v>164</v>
      </c>
      <c r="D166" s="5" t="s">
        <v>177</v>
      </c>
      <c r="E166" s="7">
        <v>14439</v>
      </c>
      <c r="F166" s="4" t="s">
        <v>241</v>
      </c>
      <c r="G166" s="6">
        <v>101</v>
      </c>
      <c r="H166" s="6">
        <v>101</v>
      </c>
      <c r="I166" s="6">
        <v>101</v>
      </c>
      <c r="J166" s="6">
        <v>303</v>
      </c>
      <c r="K166" s="6">
        <v>101</v>
      </c>
      <c r="L166" s="6">
        <v>101</v>
      </c>
      <c r="M166" s="6">
        <v>101</v>
      </c>
      <c r="N166" s="6">
        <v>303</v>
      </c>
      <c r="O166" s="6">
        <v>101</v>
      </c>
      <c r="P166" s="6">
        <v>101</v>
      </c>
      <c r="Q166" s="6">
        <v>101</v>
      </c>
      <c r="R166" s="6">
        <v>303</v>
      </c>
      <c r="S166" s="6">
        <v>101</v>
      </c>
      <c r="T166" s="6">
        <v>101</v>
      </c>
      <c r="U166" s="6">
        <v>101</v>
      </c>
      <c r="V166" s="6">
        <v>303</v>
      </c>
      <c r="W166" s="6">
        <v>101</v>
      </c>
      <c r="X166" s="6">
        <v>101</v>
      </c>
      <c r="Y166" s="6">
        <v>101</v>
      </c>
      <c r="Z166" s="6">
        <v>303</v>
      </c>
      <c r="AA166" s="4">
        <v>303</v>
      </c>
      <c r="AB166" s="25">
        <v>505</v>
      </c>
      <c r="AC166" s="25">
        <v>553</v>
      </c>
      <c r="AD166" s="25">
        <v>505</v>
      </c>
      <c r="AE166">
        <v>2727</v>
      </c>
      <c r="AF166" t="s">
        <v>199</v>
      </c>
      <c r="AG166" t="s">
        <v>199</v>
      </c>
      <c r="AH166" s="33">
        <v>0.86969924977099411</v>
      </c>
      <c r="AI166" s="12">
        <v>3.512975204225962E-2</v>
      </c>
      <c r="AJ166">
        <v>3</v>
      </c>
      <c r="AK166">
        <v>0</v>
      </c>
    </row>
    <row r="167" spans="1:37" ht="15.75" x14ac:dyDescent="0.25">
      <c r="A167" s="4">
        <v>166</v>
      </c>
      <c r="B167" t="s">
        <v>239</v>
      </c>
      <c r="C167" s="5" t="s">
        <v>164</v>
      </c>
      <c r="D167" s="5" t="s">
        <v>178</v>
      </c>
      <c r="E167" s="7">
        <v>15798</v>
      </c>
      <c r="F167" s="4" t="s">
        <v>241</v>
      </c>
      <c r="G167" s="6">
        <v>149</v>
      </c>
      <c r="H167" s="6">
        <v>149</v>
      </c>
      <c r="I167" s="6">
        <v>149</v>
      </c>
      <c r="J167" s="6">
        <v>447</v>
      </c>
      <c r="K167" s="6">
        <v>149</v>
      </c>
      <c r="L167" s="6">
        <v>149</v>
      </c>
      <c r="M167" s="6">
        <v>149</v>
      </c>
      <c r="N167" s="6">
        <v>447</v>
      </c>
      <c r="O167" s="6">
        <v>149</v>
      </c>
      <c r="P167" s="6">
        <v>149</v>
      </c>
      <c r="Q167" s="6">
        <v>149</v>
      </c>
      <c r="R167" s="6">
        <v>447</v>
      </c>
      <c r="S167" s="6">
        <v>149</v>
      </c>
      <c r="T167" s="6">
        <v>149</v>
      </c>
      <c r="U167" s="6">
        <v>149</v>
      </c>
      <c r="V167" s="6">
        <v>447</v>
      </c>
      <c r="W167" s="6">
        <v>149</v>
      </c>
      <c r="X167" s="6">
        <v>149</v>
      </c>
      <c r="Y167" s="6">
        <v>149</v>
      </c>
      <c r="Z167" s="6">
        <v>447</v>
      </c>
      <c r="AA167" s="4">
        <v>447</v>
      </c>
      <c r="AB167" s="25">
        <v>745</v>
      </c>
      <c r="AC167" s="25">
        <v>796</v>
      </c>
      <c r="AD167" s="25">
        <v>745</v>
      </c>
      <c r="AE167">
        <v>4023</v>
      </c>
      <c r="AF167" t="s">
        <v>199</v>
      </c>
      <c r="AG167" t="s">
        <v>199</v>
      </c>
      <c r="AH167" s="33">
        <v>0.47709299640730185</v>
      </c>
      <c r="AI167" s="12">
        <v>2.0759890325107718E-2</v>
      </c>
      <c r="AJ167">
        <v>1</v>
      </c>
      <c r="AK167">
        <v>0</v>
      </c>
    </row>
    <row r="168" spans="1:37" ht="15.75" x14ac:dyDescent="0.25">
      <c r="A168" s="4">
        <v>167</v>
      </c>
      <c r="B168" s="5" t="s">
        <v>239</v>
      </c>
      <c r="C168" s="5" t="s">
        <v>164</v>
      </c>
      <c r="D168" s="5" t="s">
        <v>178</v>
      </c>
      <c r="E168" s="7">
        <v>7955</v>
      </c>
      <c r="F168" s="4" t="s">
        <v>241</v>
      </c>
      <c r="G168" s="6">
        <v>200</v>
      </c>
      <c r="H168" s="6">
        <v>200</v>
      </c>
      <c r="I168" s="6">
        <v>200</v>
      </c>
      <c r="J168" s="6">
        <v>600</v>
      </c>
      <c r="K168" s="6">
        <v>200</v>
      </c>
      <c r="L168" s="6">
        <v>200</v>
      </c>
      <c r="M168" s="6">
        <v>200</v>
      </c>
      <c r="N168" s="6">
        <v>600</v>
      </c>
      <c r="O168" s="6">
        <v>200</v>
      </c>
      <c r="P168" s="6">
        <v>200</v>
      </c>
      <c r="Q168" s="6">
        <v>200</v>
      </c>
      <c r="R168" s="6">
        <v>600</v>
      </c>
      <c r="S168" s="6">
        <v>200</v>
      </c>
      <c r="T168" s="6">
        <v>200</v>
      </c>
      <c r="U168" s="6">
        <v>200</v>
      </c>
      <c r="V168" s="6">
        <v>600</v>
      </c>
      <c r="W168" s="6">
        <v>198</v>
      </c>
      <c r="X168" s="6">
        <v>200</v>
      </c>
      <c r="Y168" s="6">
        <v>200</v>
      </c>
      <c r="Z168" s="6">
        <v>598</v>
      </c>
      <c r="AA168" s="4">
        <v>600</v>
      </c>
      <c r="AB168" s="25">
        <v>998</v>
      </c>
      <c r="AC168" s="25">
        <v>950</v>
      </c>
      <c r="AD168" s="25">
        <v>1000</v>
      </c>
      <c r="AE168">
        <v>5398</v>
      </c>
      <c r="AF168" t="s">
        <v>199</v>
      </c>
      <c r="AG168" t="s">
        <v>199</v>
      </c>
      <c r="AH168" s="33">
        <v>0.99784628128288877</v>
      </c>
      <c r="AI168" s="12">
        <v>0</v>
      </c>
      <c r="AJ168">
        <v>0</v>
      </c>
      <c r="AK168">
        <v>0</v>
      </c>
    </row>
    <row r="169" spans="1:37" ht="15.75" x14ac:dyDescent="0.25">
      <c r="A169" s="4">
        <v>168</v>
      </c>
      <c r="B169" s="5" t="s">
        <v>239</v>
      </c>
      <c r="C169" s="5" t="s">
        <v>164</v>
      </c>
      <c r="D169" s="5" t="s">
        <v>178</v>
      </c>
      <c r="E169" s="7">
        <v>9500</v>
      </c>
      <c r="F169" s="4" t="s">
        <v>241</v>
      </c>
      <c r="G169" s="6">
        <v>150</v>
      </c>
      <c r="H169" s="6">
        <v>150</v>
      </c>
      <c r="I169" s="6">
        <v>150</v>
      </c>
      <c r="J169" s="6">
        <v>450</v>
      </c>
      <c r="K169" s="6">
        <v>150</v>
      </c>
      <c r="L169" s="6">
        <v>150</v>
      </c>
      <c r="M169" s="6">
        <v>150</v>
      </c>
      <c r="N169" s="6">
        <v>450</v>
      </c>
      <c r="O169" s="6">
        <v>150</v>
      </c>
      <c r="P169" s="6">
        <v>150</v>
      </c>
      <c r="Q169" s="6">
        <v>150</v>
      </c>
      <c r="R169" s="6">
        <v>450</v>
      </c>
      <c r="S169" s="6">
        <v>150</v>
      </c>
      <c r="T169" s="6">
        <v>150</v>
      </c>
      <c r="U169" s="6">
        <v>150</v>
      </c>
      <c r="V169" s="6">
        <v>450</v>
      </c>
      <c r="W169" s="6">
        <v>150</v>
      </c>
      <c r="X169" s="6">
        <v>150</v>
      </c>
      <c r="Y169" s="6">
        <v>150</v>
      </c>
      <c r="Z169" s="6">
        <v>450</v>
      </c>
      <c r="AA169" s="4">
        <v>450</v>
      </c>
      <c r="AB169" s="25">
        <v>750</v>
      </c>
      <c r="AC169" s="25">
        <v>1281</v>
      </c>
      <c r="AD169" s="25">
        <v>750</v>
      </c>
      <c r="AE169">
        <v>4050</v>
      </c>
      <c r="AF169" t="s">
        <v>198</v>
      </c>
      <c r="AG169" t="s">
        <v>199</v>
      </c>
      <c r="AH169" s="33">
        <v>0.22505211104360356</v>
      </c>
      <c r="AI169" s="12">
        <v>3.3313902652287966E-2</v>
      </c>
      <c r="AJ169">
        <v>0</v>
      </c>
      <c r="AK169">
        <v>0</v>
      </c>
    </row>
    <row r="170" spans="1:37" ht="15.75" x14ac:dyDescent="0.25">
      <c r="A170" s="4">
        <v>169</v>
      </c>
      <c r="B170" s="5" t="s">
        <v>239</v>
      </c>
      <c r="C170" s="5" t="s">
        <v>164</v>
      </c>
      <c r="D170" s="5" t="s">
        <v>179</v>
      </c>
      <c r="E170" s="7">
        <v>14995</v>
      </c>
      <c r="F170" s="4" t="s">
        <v>240</v>
      </c>
      <c r="G170" s="6">
        <v>681</v>
      </c>
      <c r="H170" s="6">
        <v>681</v>
      </c>
      <c r="I170" s="6">
        <v>681</v>
      </c>
      <c r="J170" s="6">
        <v>2043</v>
      </c>
      <c r="K170" s="6">
        <v>681</v>
      </c>
      <c r="L170" s="6">
        <v>681</v>
      </c>
      <c r="M170" s="6">
        <v>681</v>
      </c>
      <c r="N170" s="6">
        <v>2043</v>
      </c>
      <c r="O170" s="6">
        <v>681</v>
      </c>
      <c r="P170" s="6">
        <v>681</v>
      </c>
      <c r="Q170" s="6">
        <v>681</v>
      </c>
      <c r="R170" s="6">
        <v>2043</v>
      </c>
      <c r="S170" s="6">
        <v>681</v>
      </c>
      <c r="T170" s="6">
        <v>681</v>
      </c>
      <c r="U170" s="6">
        <v>681</v>
      </c>
      <c r="V170" s="6">
        <v>2043</v>
      </c>
      <c r="W170" s="6">
        <v>681</v>
      </c>
      <c r="X170" s="6">
        <v>681</v>
      </c>
      <c r="Y170" s="6">
        <v>681</v>
      </c>
      <c r="Z170" s="6">
        <v>2043</v>
      </c>
      <c r="AA170" s="4">
        <v>2043</v>
      </c>
      <c r="AB170" s="25">
        <v>3405</v>
      </c>
      <c r="AC170" s="25">
        <v>2913</v>
      </c>
      <c r="AD170" s="25">
        <v>3405</v>
      </c>
      <c r="AE170">
        <v>18387</v>
      </c>
      <c r="AF170" t="s">
        <v>199</v>
      </c>
      <c r="AG170" t="s">
        <v>199</v>
      </c>
      <c r="AH170" s="33">
        <v>0.69629576120347014</v>
      </c>
      <c r="AI170" s="12">
        <v>3.6791190696717095E-2</v>
      </c>
      <c r="AJ170">
        <v>1</v>
      </c>
      <c r="AK170">
        <v>0</v>
      </c>
    </row>
    <row r="171" spans="1:37" ht="15.75" x14ac:dyDescent="0.25">
      <c r="A171" s="4">
        <v>170</v>
      </c>
      <c r="B171" s="5" t="s">
        <v>239</v>
      </c>
      <c r="C171" s="5" t="s">
        <v>164</v>
      </c>
      <c r="D171" s="5" t="s">
        <v>180</v>
      </c>
      <c r="E171" s="7">
        <v>23401</v>
      </c>
      <c r="F171" s="4" t="s">
        <v>241</v>
      </c>
      <c r="G171" s="6">
        <v>189</v>
      </c>
      <c r="H171" s="6">
        <v>189</v>
      </c>
      <c r="I171" s="6">
        <v>189</v>
      </c>
      <c r="J171" s="6">
        <v>567</v>
      </c>
      <c r="K171" s="6">
        <v>189</v>
      </c>
      <c r="L171" s="6">
        <v>189</v>
      </c>
      <c r="M171" s="6">
        <v>189</v>
      </c>
      <c r="N171" s="6">
        <v>567</v>
      </c>
      <c r="O171" s="6">
        <v>189</v>
      </c>
      <c r="P171" s="6">
        <v>189</v>
      </c>
      <c r="Q171" s="6">
        <v>189</v>
      </c>
      <c r="R171" s="6">
        <v>567</v>
      </c>
      <c r="S171" s="6">
        <v>189</v>
      </c>
      <c r="T171" s="6">
        <v>189</v>
      </c>
      <c r="U171" s="6">
        <v>189</v>
      </c>
      <c r="V171" s="6">
        <v>567</v>
      </c>
      <c r="W171" s="6">
        <v>188</v>
      </c>
      <c r="X171" s="6">
        <v>189</v>
      </c>
      <c r="Y171" s="6">
        <v>189</v>
      </c>
      <c r="Z171" s="6">
        <v>566</v>
      </c>
      <c r="AA171" s="4">
        <v>567</v>
      </c>
      <c r="AB171" s="25">
        <v>944</v>
      </c>
      <c r="AC171" s="25">
        <v>756</v>
      </c>
      <c r="AD171" s="25">
        <v>945</v>
      </c>
      <c r="AE171">
        <v>5102</v>
      </c>
      <c r="AF171" t="s">
        <v>198</v>
      </c>
      <c r="AG171" t="s">
        <v>198</v>
      </c>
      <c r="AH171" s="33">
        <v>0.87985420536178038</v>
      </c>
      <c r="AI171" s="12">
        <v>3.6329665767074942E-2</v>
      </c>
      <c r="AJ171">
        <v>0</v>
      </c>
      <c r="AK171">
        <v>0</v>
      </c>
    </row>
    <row r="172" spans="1:37" ht="15.75" x14ac:dyDescent="0.25">
      <c r="A172" s="4">
        <v>171</v>
      </c>
      <c r="B172" s="29" t="s">
        <v>244</v>
      </c>
      <c r="C172" s="5" t="s">
        <v>38</v>
      </c>
      <c r="D172" s="5" t="s">
        <v>39</v>
      </c>
      <c r="E172" s="7">
        <v>7806</v>
      </c>
      <c r="F172" s="4" t="s">
        <v>241</v>
      </c>
      <c r="G172" s="6">
        <v>45</v>
      </c>
      <c r="H172" s="6">
        <v>0</v>
      </c>
      <c r="I172" s="6">
        <v>0</v>
      </c>
      <c r="J172" s="6">
        <v>45</v>
      </c>
      <c r="K172" s="6">
        <v>0</v>
      </c>
      <c r="L172" s="6">
        <v>0</v>
      </c>
      <c r="M172" s="6">
        <v>0</v>
      </c>
      <c r="N172" s="6">
        <v>0</v>
      </c>
      <c r="O172" s="6">
        <v>0</v>
      </c>
      <c r="P172" s="6">
        <v>0</v>
      </c>
      <c r="Q172" s="6">
        <v>0</v>
      </c>
      <c r="R172" s="6">
        <v>0</v>
      </c>
      <c r="S172" s="6">
        <v>0</v>
      </c>
      <c r="T172" s="6">
        <v>0</v>
      </c>
      <c r="U172" s="6">
        <v>0</v>
      </c>
      <c r="V172" s="6">
        <v>0</v>
      </c>
      <c r="W172" s="6">
        <v>0</v>
      </c>
      <c r="X172" s="6">
        <v>0</v>
      </c>
      <c r="Y172" s="6">
        <v>0</v>
      </c>
      <c r="Z172" s="6">
        <v>0</v>
      </c>
      <c r="AA172" s="4">
        <v>45</v>
      </c>
      <c r="AB172" s="25">
        <v>0</v>
      </c>
      <c r="AC172" s="25">
        <v>0</v>
      </c>
      <c r="AD172" s="25">
        <v>0</v>
      </c>
      <c r="AE172">
        <v>90</v>
      </c>
      <c r="AF172" t="s">
        <v>199</v>
      </c>
      <c r="AG172" t="s">
        <v>198</v>
      </c>
      <c r="AH172" s="33">
        <v>0.84048356424557724</v>
      </c>
      <c r="AI172" s="12" t="e">
        <v>#N/A</v>
      </c>
      <c r="AJ172">
        <v>0</v>
      </c>
      <c r="AK172">
        <v>0</v>
      </c>
    </row>
    <row r="173" spans="1:37" ht="15.75" x14ac:dyDescent="0.25">
      <c r="A173" s="4">
        <v>172</v>
      </c>
      <c r="B173" s="29" t="s">
        <v>244</v>
      </c>
      <c r="C173" s="5" t="s">
        <v>40</v>
      </c>
      <c r="D173" s="5" t="s">
        <v>41</v>
      </c>
      <c r="E173" s="7">
        <v>13302</v>
      </c>
      <c r="F173" s="4" t="s">
        <v>240</v>
      </c>
      <c r="G173" s="6">
        <v>49</v>
      </c>
      <c r="H173" s="6">
        <v>0</v>
      </c>
      <c r="I173" s="6">
        <v>0</v>
      </c>
      <c r="J173" s="6">
        <v>49</v>
      </c>
      <c r="K173" s="6">
        <v>0</v>
      </c>
      <c r="L173" s="6">
        <v>0</v>
      </c>
      <c r="M173" s="6">
        <v>0</v>
      </c>
      <c r="N173" s="6">
        <v>0</v>
      </c>
      <c r="O173" s="6">
        <v>0</v>
      </c>
      <c r="P173" s="6">
        <v>0</v>
      </c>
      <c r="Q173" s="6">
        <v>0</v>
      </c>
      <c r="R173" s="6">
        <v>0</v>
      </c>
      <c r="S173" s="6">
        <v>0</v>
      </c>
      <c r="T173" s="6">
        <v>0</v>
      </c>
      <c r="U173" s="6">
        <v>0</v>
      </c>
      <c r="V173" s="6">
        <v>0</v>
      </c>
      <c r="W173" s="6">
        <v>0</v>
      </c>
      <c r="X173" s="6">
        <v>0</v>
      </c>
      <c r="Y173" s="6">
        <v>0</v>
      </c>
      <c r="Z173" s="6">
        <v>0</v>
      </c>
      <c r="AA173" s="4">
        <v>49</v>
      </c>
      <c r="AB173" s="25">
        <v>0</v>
      </c>
      <c r="AC173" s="25">
        <v>0</v>
      </c>
      <c r="AD173" s="25">
        <v>0</v>
      </c>
      <c r="AE173">
        <v>98</v>
      </c>
      <c r="AF173" t="s">
        <v>198</v>
      </c>
      <c r="AG173" t="s">
        <v>198</v>
      </c>
      <c r="AH173" s="33">
        <v>0.64032764181532531</v>
      </c>
      <c r="AI173" s="12">
        <v>0</v>
      </c>
      <c r="AJ173">
        <v>0</v>
      </c>
      <c r="AK173">
        <v>0</v>
      </c>
    </row>
    <row r="174" spans="1:37" ht="15.75" x14ac:dyDescent="0.25">
      <c r="A174" s="4">
        <v>173</v>
      </c>
      <c r="B174" s="29" t="s">
        <v>244</v>
      </c>
      <c r="C174" s="5" t="s">
        <v>42</v>
      </c>
      <c r="D174" s="5" t="s">
        <v>43</v>
      </c>
      <c r="E174" s="7">
        <v>23883</v>
      </c>
      <c r="F174" s="4" t="s">
        <v>240</v>
      </c>
      <c r="G174" s="6">
        <v>9</v>
      </c>
      <c r="H174" s="6">
        <v>0</v>
      </c>
      <c r="I174" s="6">
        <v>0</v>
      </c>
      <c r="J174" s="6">
        <v>9</v>
      </c>
      <c r="K174" s="6">
        <v>0</v>
      </c>
      <c r="L174" s="6">
        <v>0</v>
      </c>
      <c r="M174" s="6">
        <v>0</v>
      </c>
      <c r="N174" s="6">
        <v>0</v>
      </c>
      <c r="O174" s="6">
        <v>0</v>
      </c>
      <c r="P174" s="6">
        <v>0</v>
      </c>
      <c r="Q174" s="6">
        <v>0</v>
      </c>
      <c r="R174" s="6">
        <v>0</v>
      </c>
      <c r="S174" s="6">
        <v>0</v>
      </c>
      <c r="T174" s="6">
        <v>0</v>
      </c>
      <c r="U174" s="6">
        <v>0</v>
      </c>
      <c r="V174" s="6">
        <v>0</v>
      </c>
      <c r="W174" s="6">
        <v>0</v>
      </c>
      <c r="X174" s="6">
        <v>0</v>
      </c>
      <c r="Y174" s="6">
        <v>0</v>
      </c>
      <c r="Z174" s="6">
        <v>0</v>
      </c>
      <c r="AA174" s="4">
        <v>9</v>
      </c>
      <c r="AB174" s="25">
        <v>0</v>
      </c>
      <c r="AC174" s="25">
        <v>0</v>
      </c>
      <c r="AD174" s="25">
        <v>0</v>
      </c>
      <c r="AE174">
        <v>18</v>
      </c>
      <c r="AF174" t="s">
        <v>199</v>
      </c>
      <c r="AG174" t="s">
        <v>198</v>
      </c>
      <c r="AH174" s="33">
        <v>0.61878343677781056</v>
      </c>
      <c r="AI174" s="12">
        <v>0</v>
      </c>
      <c r="AJ174">
        <v>0</v>
      </c>
      <c r="AK174">
        <v>0</v>
      </c>
    </row>
    <row r="175" spans="1:37" ht="15.75" x14ac:dyDescent="0.25">
      <c r="A175" s="4">
        <v>174</v>
      </c>
      <c r="B175" s="29" t="s">
        <v>244</v>
      </c>
      <c r="C175" s="5" t="s">
        <v>44</v>
      </c>
      <c r="D175" s="5" t="s">
        <v>45</v>
      </c>
      <c r="E175" s="7">
        <v>9633</v>
      </c>
      <c r="F175" s="4" t="s">
        <v>240</v>
      </c>
      <c r="G175" s="6">
        <v>20</v>
      </c>
      <c r="H175" s="6">
        <v>0</v>
      </c>
      <c r="I175" s="6">
        <v>0</v>
      </c>
      <c r="J175" s="6">
        <v>20</v>
      </c>
      <c r="K175" s="6">
        <v>0</v>
      </c>
      <c r="L175" s="6">
        <v>0</v>
      </c>
      <c r="M175" s="6">
        <v>0</v>
      </c>
      <c r="N175" s="6">
        <v>0</v>
      </c>
      <c r="O175" s="6">
        <v>0</v>
      </c>
      <c r="P175" s="6">
        <v>0</v>
      </c>
      <c r="Q175" s="6">
        <v>0</v>
      </c>
      <c r="R175" s="6">
        <v>0</v>
      </c>
      <c r="S175" s="6">
        <v>0</v>
      </c>
      <c r="T175" s="6">
        <v>0</v>
      </c>
      <c r="U175" s="6">
        <v>0</v>
      </c>
      <c r="V175" s="6">
        <v>0</v>
      </c>
      <c r="W175" s="6">
        <v>0</v>
      </c>
      <c r="X175" s="6">
        <v>0</v>
      </c>
      <c r="Y175" s="6">
        <v>0</v>
      </c>
      <c r="Z175" s="6">
        <v>0</v>
      </c>
      <c r="AA175" s="4">
        <v>20</v>
      </c>
      <c r="AB175" s="25">
        <v>0</v>
      </c>
      <c r="AC175" s="25">
        <v>235</v>
      </c>
      <c r="AD175" s="25">
        <v>0</v>
      </c>
      <c r="AE175">
        <v>40</v>
      </c>
      <c r="AF175" t="s">
        <v>199</v>
      </c>
      <c r="AG175" t="s">
        <v>198</v>
      </c>
      <c r="AH175" s="33">
        <v>0.3790582593953582</v>
      </c>
      <c r="AI175" s="12">
        <v>0.10359116022099447</v>
      </c>
      <c r="AJ175">
        <v>0</v>
      </c>
      <c r="AK175">
        <v>0</v>
      </c>
    </row>
    <row r="176" spans="1:37" ht="15.75" x14ac:dyDescent="0.25">
      <c r="A176" s="4">
        <v>175</v>
      </c>
      <c r="B176" s="5" t="s">
        <v>236</v>
      </c>
      <c r="C176" s="5" t="s">
        <v>20</v>
      </c>
      <c r="D176" s="5" t="s">
        <v>21</v>
      </c>
      <c r="E176" s="30">
        <v>7957</v>
      </c>
      <c r="F176" s="4" t="s">
        <v>240</v>
      </c>
      <c r="G176" s="6">
        <v>235</v>
      </c>
      <c r="H176" s="6">
        <v>235</v>
      </c>
      <c r="I176" s="6">
        <v>235</v>
      </c>
      <c r="J176" s="6">
        <v>705</v>
      </c>
      <c r="K176" s="6">
        <v>235</v>
      </c>
      <c r="L176" s="6">
        <v>235</v>
      </c>
      <c r="M176" s="6">
        <v>235</v>
      </c>
      <c r="N176" s="6">
        <v>705</v>
      </c>
      <c r="O176" s="6">
        <v>235</v>
      </c>
      <c r="P176" s="6">
        <v>235</v>
      </c>
      <c r="Q176" s="6">
        <v>235</v>
      </c>
      <c r="R176" s="6">
        <v>705</v>
      </c>
      <c r="S176" s="6">
        <v>235</v>
      </c>
      <c r="T176" s="6">
        <v>235</v>
      </c>
      <c r="U176" s="6">
        <v>235</v>
      </c>
      <c r="V176" s="6">
        <v>705</v>
      </c>
      <c r="W176" s="6">
        <v>235</v>
      </c>
      <c r="X176" s="6">
        <v>235</v>
      </c>
      <c r="Y176" s="6">
        <v>235</v>
      </c>
      <c r="Z176" s="6">
        <v>705</v>
      </c>
      <c r="AA176" s="4">
        <v>705</v>
      </c>
      <c r="AB176" s="25">
        <v>1175</v>
      </c>
      <c r="AC176" s="25">
        <v>1089</v>
      </c>
      <c r="AD176" s="25">
        <v>1175</v>
      </c>
      <c r="AE176">
        <v>6345</v>
      </c>
      <c r="AF176" t="s">
        <v>199</v>
      </c>
      <c r="AG176" t="s">
        <v>198</v>
      </c>
      <c r="AH176" s="33">
        <v>0.35828690559040899</v>
      </c>
      <c r="AI176" s="12">
        <v>0</v>
      </c>
      <c r="AJ176">
        <v>0</v>
      </c>
      <c r="AK176">
        <v>0</v>
      </c>
    </row>
    <row r="177" spans="1:37" ht="15.75" x14ac:dyDescent="0.25">
      <c r="A177" s="4">
        <v>176</v>
      </c>
      <c r="B177" s="5" t="s">
        <v>236</v>
      </c>
      <c r="C177" s="5" t="s">
        <v>20</v>
      </c>
      <c r="D177" s="5" t="s">
        <v>21</v>
      </c>
      <c r="E177" s="7">
        <v>7945</v>
      </c>
      <c r="F177" s="4" t="s">
        <v>241</v>
      </c>
      <c r="G177" s="6">
        <v>151</v>
      </c>
      <c r="H177" s="6">
        <v>149</v>
      </c>
      <c r="I177" s="6">
        <v>149</v>
      </c>
      <c r="J177" s="6">
        <v>449</v>
      </c>
      <c r="K177" s="6">
        <v>149</v>
      </c>
      <c r="L177" s="6">
        <v>149</v>
      </c>
      <c r="M177" s="6">
        <v>149</v>
      </c>
      <c r="N177" s="6">
        <v>447</v>
      </c>
      <c r="O177" s="6">
        <v>149</v>
      </c>
      <c r="P177" s="6">
        <v>149</v>
      </c>
      <c r="Q177" s="6">
        <v>149</v>
      </c>
      <c r="R177" s="6">
        <v>447</v>
      </c>
      <c r="S177" s="6">
        <v>149</v>
      </c>
      <c r="T177" s="6">
        <v>149</v>
      </c>
      <c r="U177" s="6">
        <v>149</v>
      </c>
      <c r="V177" s="6">
        <v>447</v>
      </c>
      <c r="W177" s="6">
        <v>149</v>
      </c>
      <c r="X177" s="6">
        <v>149</v>
      </c>
      <c r="Y177" s="6">
        <v>149</v>
      </c>
      <c r="Z177" s="6">
        <v>447</v>
      </c>
      <c r="AA177" s="4">
        <v>449</v>
      </c>
      <c r="AB177" s="25">
        <v>745</v>
      </c>
      <c r="AC177" s="25">
        <v>829</v>
      </c>
      <c r="AD177" s="25">
        <v>745</v>
      </c>
      <c r="AE177">
        <v>4027</v>
      </c>
      <c r="AF177" t="s">
        <v>198</v>
      </c>
      <c r="AG177" t="s">
        <v>198</v>
      </c>
      <c r="AH177" s="33">
        <v>0.76174490040924325</v>
      </c>
      <c r="AI177" s="12">
        <v>2.1676670554433477E-2</v>
      </c>
      <c r="AJ177">
        <v>3</v>
      </c>
      <c r="AK177">
        <v>0</v>
      </c>
    </row>
    <row r="178" spans="1:37" ht="15.75" x14ac:dyDescent="0.25">
      <c r="A178" s="4">
        <v>177</v>
      </c>
      <c r="B178" s="5" t="s">
        <v>236</v>
      </c>
      <c r="C178" s="5" t="s">
        <v>20</v>
      </c>
      <c r="D178" s="5" t="s">
        <v>22</v>
      </c>
      <c r="E178" s="7">
        <v>2220</v>
      </c>
      <c r="F178" s="4" t="s">
        <v>240</v>
      </c>
      <c r="G178" s="6">
        <v>233</v>
      </c>
      <c r="H178" s="6">
        <v>233</v>
      </c>
      <c r="I178" s="6">
        <v>233</v>
      </c>
      <c r="J178" s="6">
        <v>699</v>
      </c>
      <c r="K178" s="6">
        <v>233</v>
      </c>
      <c r="L178" s="6">
        <v>233</v>
      </c>
      <c r="M178" s="6">
        <v>233</v>
      </c>
      <c r="N178" s="6">
        <v>699</v>
      </c>
      <c r="O178" s="6">
        <v>233</v>
      </c>
      <c r="P178" s="6">
        <v>233</v>
      </c>
      <c r="Q178" s="6">
        <v>233</v>
      </c>
      <c r="R178" s="6">
        <v>699</v>
      </c>
      <c r="S178" s="6">
        <v>233</v>
      </c>
      <c r="T178" s="6">
        <v>233</v>
      </c>
      <c r="U178" s="6">
        <v>233</v>
      </c>
      <c r="V178" s="6">
        <v>699</v>
      </c>
      <c r="W178" s="6">
        <v>233</v>
      </c>
      <c r="X178" s="6">
        <v>233</v>
      </c>
      <c r="Y178" s="6">
        <v>233</v>
      </c>
      <c r="Z178" s="6">
        <v>699</v>
      </c>
      <c r="AA178" s="4">
        <v>699</v>
      </c>
      <c r="AB178" s="25">
        <v>1165</v>
      </c>
      <c r="AC178" s="25">
        <v>1140</v>
      </c>
      <c r="AD178" s="25">
        <v>1165</v>
      </c>
      <c r="AE178">
        <v>6291</v>
      </c>
      <c r="AF178" t="s">
        <v>198</v>
      </c>
      <c r="AG178" t="s">
        <v>198</v>
      </c>
      <c r="AH178" s="33">
        <v>0.66554952467214967</v>
      </c>
      <c r="AI178" s="12">
        <v>0</v>
      </c>
      <c r="AJ178">
        <v>0</v>
      </c>
      <c r="AK178">
        <v>0</v>
      </c>
    </row>
    <row r="179" spans="1:37" ht="15.75" x14ac:dyDescent="0.25">
      <c r="A179" s="4">
        <v>178</v>
      </c>
      <c r="B179" s="5" t="s">
        <v>236</v>
      </c>
      <c r="C179" s="5" t="s">
        <v>20</v>
      </c>
      <c r="D179" s="5" t="s">
        <v>22</v>
      </c>
      <c r="E179" s="7">
        <v>6687</v>
      </c>
      <c r="F179" s="4" t="s">
        <v>241</v>
      </c>
      <c r="G179" s="6">
        <v>208</v>
      </c>
      <c r="H179" s="6">
        <v>208</v>
      </c>
      <c r="I179" s="6">
        <v>208</v>
      </c>
      <c r="J179" s="6">
        <v>624</v>
      </c>
      <c r="K179" s="6">
        <v>208</v>
      </c>
      <c r="L179" s="6">
        <v>208</v>
      </c>
      <c r="M179" s="6">
        <v>207</v>
      </c>
      <c r="N179" s="6">
        <v>623</v>
      </c>
      <c r="O179" s="6">
        <v>207</v>
      </c>
      <c r="P179" s="6">
        <v>205</v>
      </c>
      <c r="Q179" s="6">
        <v>205</v>
      </c>
      <c r="R179" s="6">
        <v>617</v>
      </c>
      <c r="S179" s="6">
        <v>204</v>
      </c>
      <c r="T179" s="6">
        <v>204</v>
      </c>
      <c r="U179" s="6">
        <v>202</v>
      </c>
      <c r="V179" s="6">
        <v>610</v>
      </c>
      <c r="W179" s="6">
        <v>201</v>
      </c>
      <c r="X179" s="6">
        <v>200</v>
      </c>
      <c r="Y179" s="6">
        <v>200</v>
      </c>
      <c r="Z179" s="6">
        <v>601</v>
      </c>
      <c r="AA179" s="4">
        <v>624</v>
      </c>
      <c r="AB179" s="25">
        <v>1028</v>
      </c>
      <c r="AC179" s="25">
        <v>994</v>
      </c>
      <c r="AD179" s="25">
        <v>1022</v>
      </c>
      <c r="AE179">
        <v>5549</v>
      </c>
      <c r="AF179" t="s">
        <v>198</v>
      </c>
      <c r="AG179" t="s">
        <v>198</v>
      </c>
      <c r="AH179" s="33">
        <v>0.60870152529690758</v>
      </c>
      <c r="AI179" s="12">
        <v>2.9118674776756826E-2</v>
      </c>
      <c r="AJ179">
        <v>0</v>
      </c>
      <c r="AK179">
        <v>0</v>
      </c>
    </row>
    <row r="180" spans="1:37" ht="15.75" x14ac:dyDescent="0.25">
      <c r="A180" s="4">
        <v>179</v>
      </c>
      <c r="B180" s="5" t="s">
        <v>236</v>
      </c>
      <c r="C180" s="5" t="s">
        <v>20</v>
      </c>
      <c r="D180" s="5" t="s">
        <v>23</v>
      </c>
      <c r="E180" s="7">
        <v>15792</v>
      </c>
      <c r="F180" s="4" t="s">
        <v>241</v>
      </c>
      <c r="G180" s="6">
        <v>177</v>
      </c>
      <c r="H180" s="6">
        <v>177</v>
      </c>
      <c r="I180" s="6">
        <v>177</v>
      </c>
      <c r="J180" s="6">
        <v>531</v>
      </c>
      <c r="K180" s="6">
        <v>177</v>
      </c>
      <c r="L180" s="6">
        <v>177</v>
      </c>
      <c r="M180" s="6">
        <v>177</v>
      </c>
      <c r="N180" s="6">
        <v>531</v>
      </c>
      <c r="O180" s="6">
        <v>177</v>
      </c>
      <c r="P180" s="6">
        <v>177</v>
      </c>
      <c r="Q180" s="6">
        <v>177</v>
      </c>
      <c r="R180" s="6">
        <v>531</v>
      </c>
      <c r="S180" s="6">
        <v>177</v>
      </c>
      <c r="T180" s="6">
        <v>177</v>
      </c>
      <c r="U180" s="6">
        <v>177</v>
      </c>
      <c r="V180" s="6">
        <v>531</v>
      </c>
      <c r="W180" s="6">
        <v>176</v>
      </c>
      <c r="X180" s="6">
        <v>176</v>
      </c>
      <c r="Y180" s="6">
        <v>176</v>
      </c>
      <c r="Z180" s="6">
        <v>528</v>
      </c>
      <c r="AA180" s="4">
        <v>531</v>
      </c>
      <c r="AB180" s="25">
        <v>884</v>
      </c>
      <c r="AC180" s="25">
        <v>1168</v>
      </c>
      <c r="AD180" s="25">
        <v>884</v>
      </c>
      <c r="AE180">
        <v>4776</v>
      </c>
      <c r="AF180" t="s">
        <v>198</v>
      </c>
      <c r="AG180" t="s">
        <v>198</v>
      </c>
      <c r="AH180" s="33">
        <v>0.23864226595652882</v>
      </c>
      <c r="AI180" s="12">
        <v>4.022311031885225E-2</v>
      </c>
      <c r="AJ180">
        <v>0</v>
      </c>
      <c r="AK180">
        <v>0</v>
      </c>
    </row>
    <row r="181" spans="1:37" ht="15.75" x14ac:dyDescent="0.25">
      <c r="A181" s="4">
        <v>180</v>
      </c>
      <c r="B181" s="5" t="s">
        <v>236</v>
      </c>
      <c r="C181" s="5" t="s">
        <v>20</v>
      </c>
      <c r="D181" s="5" t="s">
        <v>23</v>
      </c>
      <c r="E181" s="7">
        <v>34017</v>
      </c>
      <c r="F181" s="4" t="s">
        <v>240</v>
      </c>
      <c r="G181" s="6">
        <v>461</v>
      </c>
      <c r="H181" s="6">
        <v>461</v>
      </c>
      <c r="I181" s="6">
        <v>460</v>
      </c>
      <c r="J181" s="6">
        <v>1382</v>
      </c>
      <c r="K181" s="6">
        <v>460</v>
      </c>
      <c r="L181" s="6">
        <v>460</v>
      </c>
      <c r="M181" s="6">
        <v>460</v>
      </c>
      <c r="N181" s="6">
        <v>1380</v>
      </c>
      <c r="O181" s="6">
        <v>460</v>
      </c>
      <c r="P181" s="6">
        <v>460</v>
      </c>
      <c r="Q181" s="6">
        <v>460</v>
      </c>
      <c r="R181" s="6">
        <v>1380</v>
      </c>
      <c r="S181" s="6">
        <v>460</v>
      </c>
      <c r="T181" s="6">
        <v>460</v>
      </c>
      <c r="U181" s="6">
        <v>460</v>
      </c>
      <c r="V181" s="6">
        <v>1380</v>
      </c>
      <c r="W181" s="6">
        <v>460</v>
      </c>
      <c r="X181" s="6">
        <v>460</v>
      </c>
      <c r="Y181" s="6">
        <v>460</v>
      </c>
      <c r="Z181" s="6">
        <v>1380</v>
      </c>
      <c r="AA181" s="4">
        <v>1382</v>
      </c>
      <c r="AB181" s="25">
        <v>2301</v>
      </c>
      <c r="AC181" s="25">
        <v>1987</v>
      </c>
      <c r="AD181" s="25">
        <v>2300</v>
      </c>
      <c r="AE181">
        <v>12424</v>
      </c>
      <c r="AF181" t="s">
        <v>198</v>
      </c>
      <c r="AG181" t="s">
        <v>198</v>
      </c>
      <c r="AH181" s="33">
        <v>0.26426902346186787</v>
      </c>
      <c r="AI181" s="12">
        <v>6.1884669479606191E-2</v>
      </c>
      <c r="AJ181">
        <v>0</v>
      </c>
      <c r="AK181">
        <v>0</v>
      </c>
    </row>
    <row r="182" spans="1:37" ht="15.75" x14ac:dyDescent="0.25">
      <c r="A182" s="4">
        <v>181</v>
      </c>
      <c r="B182" s="5" t="s">
        <v>236</v>
      </c>
      <c r="C182" s="5" t="s">
        <v>20</v>
      </c>
      <c r="D182" s="5" t="s">
        <v>23</v>
      </c>
      <c r="E182" s="7">
        <v>16640</v>
      </c>
      <c r="F182" s="4" t="s">
        <v>241</v>
      </c>
      <c r="G182" s="6">
        <v>147</v>
      </c>
      <c r="H182" s="6">
        <v>147</v>
      </c>
      <c r="I182" s="6">
        <v>147</v>
      </c>
      <c r="J182" s="6">
        <v>441</v>
      </c>
      <c r="K182" s="6">
        <v>147</v>
      </c>
      <c r="L182" s="6">
        <v>147</v>
      </c>
      <c r="M182" s="6">
        <v>147</v>
      </c>
      <c r="N182" s="6">
        <v>441</v>
      </c>
      <c r="O182" s="6">
        <v>147</v>
      </c>
      <c r="P182" s="6">
        <v>147</v>
      </c>
      <c r="Q182" s="6">
        <v>147</v>
      </c>
      <c r="R182" s="6">
        <v>441</v>
      </c>
      <c r="S182" s="6">
        <v>147</v>
      </c>
      <c r="T182" s="6">
        <v>147</v>
      </c>
      <c r="U182" s="6">
        <v>147</v>
      </c>
      <c r="V182" s="6">
        <v>441</v>
      </c>
      <c r="W182" s="6">
        <v>147</v>
      </c>
      <c r="X182" s="6">
        <v>147</v>
      </c>
      <c r="Y182" s="6">
        <v>147</v>
      </c>
      <c r="Z182" s="6">
        <v>441</v>
      </c>
      <c r="AA182" s="4">
        <v>441</v>
      </c>
      <c r="AB182" s="25">
        <v>735</v>
      </c>
      <c r="AC182" s="25">
        <v>710</v>
      </c>
      <c r="AD182" s="25">
        <v>735</v>
      </c>
      <c r="AE182">
        <v>3969</v>
      </c>
      <c r="AF182" t="s">
        <v>198</v>
      </c>
      <c r="AG182" t="s">
        <v>198</v>
      </c>
      <c r="AH182" s="33">
        <v>0.94152597287946005</v>
      </c>
      <c r="AI182" s="12">
        <v>1.7751479289940829E-2</v>
      </c>
      <c r="AJ182">
        <v>0</v>
      </c>
      <c r="AK182">
        <v>0</v>
      </c>
    </row>
    <row r="183" spans="1:37" ht="15.75" x14ac:dyDescent="0.25">
      <c r="A183" s="4">
        <v>182</v>
      </c>
      <c r="B183" s="5" t="s">
        <v>236</v>
      </c>
      <c r="C183" s="5" t="s">
        <v>20</v>
      </c>
      <c r="D183" s="5" t="s">
        <v>23</v>
      </c>
      <c r="E183" s="30">
        <v>14429</v>
      </c>
      <c r="F183" s="4" t="s">
        <v>241</v>
      </c>
      <c r="G183" s="6">
        <v>122</v>
      </c>
      <c r="H183" s="6">
        <v>122</v>
      </c>
      <c r="I183" s="6">
        <v>122</v>
      </c>
      <c r="J183" s="6">
        <v>366</v>
      </c>
      <c r="K183" s="6">
        <v>122</v>
      </c>
      <c r="L183" s="6">
        <v>122</v>
      </c>
      <c r="M183" s="6">
        <v>122</v>
      </c>
      <c r="N183" s="6">
        <v>366</v>
      </c>
      <c r="O183" s="6">
        <v>122</v>
      </c>
      <c r="P183" s="6">
        <v>122</v>
      </c>
      <c r="Q183" s="6">
        <v>122</v>
      </c>
      <c r="R183" s="6">
        <v>366</v>
      </c>
      <c r="S183" s="6">
        <v>122</v>
      </c>
      <c r="T183" s="6">
        <v>122</v>
      </c>
      <c r="U183" s="6">
        <v>122</v>
      </c>
      <c r="V183" s="6">
        <v>366</v>
      </c>
      <c r="W183" s="6">
        <v>122</v>
      </c>
      <c r="X183" s="6">
        <v>122</v>
      </c>
      <c r="Y183" s="6">
        <v>122</v>
      </c>
      <c r="Z183" s="6">
        <v>366</v>
      </c>
      <c r="AA183" s="4">
        <v>366</v>
      </c>
      <c r="AB183" s="25">
        <v>610</v>
      </c>
      <c r="AC183" s="25">
        <v>726</v>
      </c>
      <c r="AD183" s="25">
        <v>610</v>
      </c>
      <c r="AE183">
        <v>3294</v>
      </c>
      <c r="AF183" t="s">
        <v>198</v>
      </c>
      <c r="AG183" t="s">
        <v>198</v>
      </c>
      <c r="AH183" s="33">
        <v>0.86184280205979935</v>
      </c>
      <c r="AI183" s="12">
        <v>3.4530590561638583E-2</v>
      </c>
      <c r="AJ183">
        <v>2</v>
      </c>
      <c r="AK183">
        <v>0</v>
      </c>
    </row>
    <row r="184" spans="1:37" ht="15.75" x14ac:dyDescent="0.25">
      <c r="A184" s="4">
        <v>183</v>
      </c>
      <c r="B184" s="5" t="s">
        <v>236</v>
      </c>
      <c r="C184" s="5" t="s">
        <v>20</v>
      </c>
      <c r="D184" s="5" t="s">
        <v>23</v>
      </c>
      <c r="E184" s="30">
        <v>9407</v>
      </c>
      <c r="F184" s="4" t="s">
        <v>241</v>
      </c>
      <c r="G184" s="6">
        <v>238</v>
      </c>
      <c r="H184" s="6">
        <v>238</v>
      </c>
      <c r="I184" s="6">
        <v>238</v>
      </c>
      <c r="J184" s="6">
        <v>714</v>
      </c>
      <c r="K184" s="6">
        <v>238</v>
      </c>
      <c r="L184" s="6">
        <v>238</v>
      </c>
      <c r="M184" s="6">
        <v>238</v>
      </c>
      <c r="N184" s="6">
        <v>714</v>
      </c>
      <c r="O184" s="6">
        <v>238</v>
      </c>
      <c r="P184" s="6">
        <v>238</v>
      </c>
      <c r="Q184" s="6">
        <v>238</v>
      </c>
      <c r="R184" s="6">
        <v>714</v>
      </c>
      <c r="S184" s="6">
        <v>238</v>
      </c>
      <c r="T184" s="6">
        <v>238</v>
      </c>
      <c r="U184" s="6">
        <v>238</v>
      </c>
      <c r="V184" s="6">
        <v>714</v>
      </c>
      <c r="W184" s="6">
        <v>238</v>
      </c>
      <c r="X184" s="6">
        <v>238</v>
      </c>
      <c r="Y184" s="6">
        <v>238</v>
      </c>
      <c r="Z184" s="6">
        <v>714</v>
      </c>
      <c r="AA184" s="4">
        <v>714</v>
      </c>
      <c r="AB184" s="25">
        <v>1190</v>
      </c>
      <c r="AC184" s="25">
        <v>1104</v>
      </c>
      <c r="AD184" s="25">
        <v>1190</v>
      </c>
      <c r="AE184">
        <v>6426</v>
      </c>
      <c r="AF184" t="s">
        <v>198</v>
      </c>
      <c r="AG184" t="s">
        <v>198</v>
      </c>
      <c r="AH184" s="33">
        <v>0.51813154799773664</v>
      </c>
      <c r="AI184" s="12">
        <v>3.9105364319412896E-2</v>
      </c>
      <c r="AJ184">
        <v>0</v>
      </c>
      <c r="AK184">
        <v>0</v>
      </c>
    </row>
    <row r="185" spans="1:37" ht="15.75" x14ac:dyDescent="0.25">
      <c r="A185" s="4">
        <v>184</v>
      </c>
      <c r="B185" s="5" t="s">
        <v>236</v>
      </c>
      <c r="C185" s="5" t="s">
        <v>20</v>
      </c>
      <c r="D185" s="5" t="s">
        <v>23</v>
      </c>
      <c r="E185" s="7">
        <v>9338</v>
      </c>
      <c r="F185" s="4" t="s">
        <v>241</v>
      </c>
      <c r="G185" s="6">
        <v>152</v>
      </c>
      <c r="H185" s="6">
        <v>152</v>
      </c>
      <c r="I185" s="6">
        <v>152</v>
      </c>
      <c r="J185" s="6">
        <v>456</v>
      </c>
      <c r="K185" s="6">
        <v>152</v>
      </c>
      <c r="L185" s="6">
        <v>152</v>
      </c>
      <c r="M185" s="6">
        <v>152</v>
      </c>
      <c r="N185" s="6">
        <v>456</v>
      </c>
      <c r="O185" s="6">
        <v>152</v>
      </c>
      <c r="P185" s="6">
        <v>151</v>
      </c>
      <c r="Q185" s="6">
        <v>151</v>
      </c>
      <c r="R185" s="6">
        <v>454</v>
      </c>
      <c r="S185" s="6">
        <v>151</v>
      </c>
      <c r="T185" s="6">
        <v>151</v>
      </c>
      <c r="U185" s="6">
        <v>151</v>
      </c>
      <c r="V185" s="6">
        <v>453</v>
      </c>
      <c r="W185" s="6">
        <v>151</v>
      </c>
      <c r="X185" s="6">
        <v>151</v>
      </c>
      <c r="Y185" s="6">
        <v>151</v>
      </c>
      <c r="Z185" s="6">
        <v>453</v>
      </c>
      <c r="AA185" s="4">
        <v>456</v>
      </c>
      <c r="AB185" s="25">
        <v>758</v>
      </c>
      <c r="AC185" s="25">
        <v>807</v>
      </c>
      <c r="AD185" s="25">
        <v>757</v>
      </c>
      <c r="AE185">
        <v>4091</v>
      </c>
      <c r="AF185" t="s">
        <v>198</v>
      </c>
      <c r="AG185" t="s">
        <v>198</v>
      </c>
      <c r="AH185" s="33">
        <v>4.8430263521565209E-2</v>
      </c>
      <c r="AI185" s="12">
        <v>2.1293149338683919E-2</v>
      </c>
      <c r="AJ185">
        <v>0</v>
      </c>
      <c r="AK185">
        <v>0</v>
      </c>
    </row>
    <row r="186" spans="1:37" ht="15.75" x14ac:dyDescent="0.25">
      <c r="A186" s="4">
        <v>185</v>
      </c>
      <c r="B186" s="5" t="s">
        <v>236</v>
      </c>
      <c r="C186" s="5" t="s">
        <v>20</v>
      </c>
      <c r="D186" s="5" t="s">
        <v>24</v>
      </c>
      <c r="E186" s="7">
        <v>8589</v>
      </c>
      <c r="F186" s="4" t="s">
        <v>241</v>
      </c>
      <c r="G186" s="6">
        <v>202</v>
      </c>
      <c r="H186" s="6">
        <v>202</v>
      </c>
      <c r="I186" s="6">
        <v>202</v>
      </c>
      <c r="J186" s="6">
        <v>606</v>
      </c>
      <c r="K186" s="6">
        <v>202</v>
      </c>
      <c r="L186" s="6">
        <v>202</v>
      </c>
      <c r="M186" s="6">
        <v>202</v>
      </c>
      <c r="N186" s="6">
        <v>606</v>
      </c>
      <c r="O186" s="6">
        <v>202</v>
      </c>
      <c r="P186" s="6">
        <v>202</v>
      </c>
      <c r="Q186" s="6">
        <v>202</v>
      </c>
      <c r="R186" s="6">
        <v>606</v>
      </c>
      <c r="S186" s="6">
        <v>202</v>
      </c>
      <c r="T186" s="6">
        <v>202</v>
      </c>
      <c r="U186" s="6">
        <v>202</v>
      </c>
      <c r="V186" s="6">
        <v>606</v>
      </c>
      <c r="W186" s="6">
        <v>202</v>
      </c>
      <c r="X186" s="6">
        <v>202</v>
      </c>
      <c r="Y186" s="6">
        <v>202</v>
      </c>
      <c r="Z186" s="6">
        <v>606</v>
      </c>
      <c r="AA186" s="4">
        <v>606</v>
      </c>
      <c r="AB186" s="25">
        <v>1010</v>
      </c>
      <c r="AC186" s="25">
        <v>984</v>
      </c>
      <c r="AD186" s="25">
        <v>1010</v>
      </c>
      <c r="AE186">
        <v>5454</v>
      </c>
      <c r="AF186" t="s">
        <v>199</v>
      </c>
      <c r="AG186" t="s">
        <v>198</v>
      </c>
      <c r="AH186" s="33">
        <v>0.4987976839858087</v>
      </c>
      <c r="AI186" s="12" t="e">
        <v>#N/A</v>
      </c>
      <c r="AJ186">
        <v>0</v>
      </c>
      <c r="AK186">
        <v>0</v>
      </c>
    </row>
    <row r="187" spans="1:37" ht="15.75" x14ac:dyDescent="0.25">
      <c r="A187" s="4">
        <v>186</v>
      </c>
      <c r="B187" s="5" t="s">
        <v>236</v>
      </c>
      <c r="C187" s="5" t="s">
        <v>20</v>
      </c>
      <c r="D187" s="5" t="s">
        <v>24</v>
      </c>
      <c r="E187" s="30">
        <v>25807</v>
      </c>
      <c r="F187" s="4" t="s">
        <v>241</v>
      </c>
      <c r="G187" s="6">
        <v>176</v>
      </c>
      <c r="H187" s="6">
        <v>176</v>
      </c>
      <c r="I187" s="6">
        <v>176</v>
      </c>
      <c r="J187" s="6">
        <v>528</v>
      </c>
      <c r="K187" s="6">
        <v>176</v>
      </c>
      <c r="L187" s="6">
        <v>176</v>
      </c>
      <c r="M187" s="6">
        <v>175</v>
      </c>
      <c r="N187" s="6">
        <v>527</v>
      </c>
      <c r="O187" s="6">
        <v>175</v>
      </c>
      <c r="P187" s="6">
        <v>175</v>
      </c>
      <c r="Q187" s="6">
        <v>175</v>
      </c>
      <c r="R187" s="6">
        <v>525</v>
      </c>
      <c r="S187" s="6">
        <v>175</v>
      </c>
      <c r="T187" s="6">
        <v>174</v>
      </c>
      <c r="U187" s="6">
        <v>173</v>
      </c>
      <c r="V187" s="6">
        <v>522</v>
      </c>
      <c r="W187" s="6">
        <v>172</v>
      </c>
      <c r="X187" s="6">
        <v>173</v>
      </c>
      <c r="Y187" s="6">
        <v>173</v>
      </c>
      <c r="Z187" s="6">
        <v>518</v>
      </c>
      <c r="AA187" s="4">
        <v>528</v>
      </c>
      <c r="AB187" s="25">
        <v>874</v>
      </c>
      <c r="AC187" s="25">
        <v>931</v>
      </c>
      <c r="AD187" s="25">
        <v>872</v>
      </c>
      <c r="AE187">
        <v>4722</v>
      </c>
      <c r="AF187" t="s">
        <v>199</v>
      </c>
      <c r="AG187" t="s">
        <v>198</v>
      </c>
      <c r="AH187" s="33">
        <v>0.77116977579906398</v>
      </c>
      <c r="AI187" s="12">
        <v>0</v>
      </c>
      <c r="AJ187">
        <v>0</v>
      </c>
      <c r="AK187">
        <v>0</v>
      </c>
    </row>
    <row r="188" spans="1:37" ht="15.75" x14ac:dyDescent="0.25">
      <c r="A188" s="4">
        <v>187</v>
      </c>
      <c r="B188" s="5" t="s">
        <v>236</v>
      </c>
      <c r="C188" s="5" t="s">
        <v>20</v>
      </c>
      <c r="D188" s="5" t="s">
        <v>24</v>
      </c>
      <c r="E188" s="30">
        <v>37507</v>
      </c>
      <c r="F188" s="4" t="s">
        <v>241</v>
      </c>
      <c r="G188" s="6">
        <v>233</v>
      </c>
      <c r="H188" s="6">
        <v>233</v>
      </c>
      <c r="I188" s="6">
        <v>233</v>
      </c>
      <c r="J188" s="6">
        <v>699</v>
      </c>
      <c r="K188" s="6">
        <v>233</v>
      </c>
      <c r="L188" s="6">
        <v>233</v>
      </c>
      <c r="M188" s="6">
        <v>233</v>
      </c>
      <c r="N188" s="6">
        <v>699</v>
      </c>
      <c r="O188" s="6">
        <v>233</v>
      </c>
      <c r="P188" s="6">
        <v>233</v>
      </c>
      <c r="Q188" s="6">
        <v>233</v>
      </c>
      <c r="R188" s="6">
        <v>699</v>
      </c>
      <c r="S188" s="6">
        <v>233</v>
      </c>
      <c r="T188" s="6">
        <v>233</v>
      </c>
      <c r="U188" s="6">
        <v>233</v>
      </c>
      <c r="V188" s="6">
        <v>699</v>
      </c>
      <c r="W188" s="6">
        <v>233</v>
      </c>
      <c r="X188" s="6">
        <v>233</v>
      </c>
      <c r="Y188" s="6">
        <v>233</v>
      </c>
      <c r="Z188" s="6">
        <v>699</v>
      </c>
      <c r="AA188" s="4">
        <v>699</v>
      </c>
      <c r="AB188" s="25">
        <v>1165</v>
      </c>
      <c r="AC188" s="25">
        <v>1134</v>
      </c>
      <c r="AD188" s="25">
        <v>1165</v>
      </c>
      <c r="AE188">
        <v>6291</v>
      </c>
      <c r="AF188" t="s">
        <v>199</v>
      </c>
      <c r="AG188" t="s">
        <v>198</v>
      </c>
      <c r="AH188" s="33">
        <v>9.6164224881220006E-3</v>
      </c>
      <c r="AI188" s="12">
        <v>0</v>
      </c>
      <c r="AJ188">
        <v>0</v>
      </c>
      <c r="AK188">
        <v>0</v>
      </c>
    </row>
    <row r="189" spans="1:37" ht="15.75" x14ac:dyDescent="0.25">
      <c r="A189" s="4">
        <v>188</v>
      </c>
      <c r="B189" s="5" t="s">
        <v>236</v>
      </c>
      <c r="C189" s="5" t="s">
        <v>20</v>
      </c>
      <c r="D189" s="5" t="s">
        <v>24</v>
      </c>
      <c r="E189" s="30">
        <v>14947</v>
      </c>
      <c r="F189" s="4" t="s">
        <v>241</v>
      </c>
      <c r="G189" s="6">
        <v>202</v>
      </c>
      <c r="H189" s="6">
        <v>202</v>
      </c>
      <c r="I189" s="6">
        <v>202</v>
      </c>
      <c r="J189" s="6">
        <v>606</v>
      </c>
      <c r="K189" s="6">
        <v>202</v>
      </c>
      <c r="L189" s="6">
        <v>202</v>
      </c>
      <c r="M189" s="6">
        <v>202</v>
      </c>
      <c r="N189" s="6">
        <v>606</v>
      </c>
      <c r="O189" s="6">
        <v>202</v>
      </c>
      <c r="P189" s="6">
        <v>201</v>
      </c>
      <c r="Q189" s="6">
        <v>201</v>
      </c>
      <c r="R189" s="6">
        <v>604</v>
      </c>
      <c r="S189" s="6">
        <v>201</v>
      </c>
      <c r="T189" s="6">
        <v>201</v>
      </c>
      <c r="U189" s="6">
        <v>201</v>
      </c>
      <c r="V189" s="6">
        <v>603</v>
      </c>
      <c r="W189" s="6">
        <v>201</v>
      </c>
      <c r="X189" s="6">
        <v>201</v>
      </c>
      <c r="Y189" s="6">
        <v>201</v>
      </c>
      <c r="Z189" s="6">
        <v>603</v>
      </c>
      <c r="AA189" s="4">
        <v>606</v>
      </c>
      <c r="AB189" s="25">
        <v>1008</v>
      </c>
      <c r="AC189" s="25">
        <v>1038</v>
      </c>
      <c r="AD189" s="25">
        <v>1007</v>
      </c>
      <c r="AE189">
        <v>5441</v>
      </c>
      <c r="AF189" t="s">
        <v>198</v>
      </c>
      <c r="AG189" t="s">
        <v>198</v>
      </c>
      <c r="AH189" s="33">
        <v>0.34418513000132167</v>
      </c>
      <c r="AI189" s="12">
        <v>4.3126177024482112E-2</v>
      </c>
      <c r="AJ189">
        <v>0</v>
      </c>
      <c r="AK189">
        <v>0</v>
      </c>
    </row>
    <row r="190" spans="1:37" ht="15.75" x14ac:dyDescent="0.25">
      <c r="A190" s="4">
        <v>189</v>
      </c>
      <c r="B190" s="5" t="s">
        <v>236</v>
      </c>
      <c r="C190" s="5" t="s">
        <v>20</v>
      </c>
      <c r="D190" s="5" t="s">
        <v>25</v>
      </c>
      <c r="E190" s="30">
        <v>8451</v>
      </c>
      <c r="F190" s="4" t="s">
        <v>240</v>
      </c>
      <c r="G190" s="6">
        <v>233</v>
      </c>
      <c r="H190" s="6">
        <v>233</v>
      </c>
      <c r="I190" s="6">
        <v>233</v>
      </c>
      <c r="J190" s="6">
        <v>699</v>
      </c>
      <c r="K190" s="6">
        <v>233</v>
      </c>
      <c r="L190" s="6">
        <v>233</v>
      </c>
      <c r="M190" s="6">
        <v>233</v>
      </c>
      <c r="N190" s="6">
        <v>699</v>
      </c>
      <c r="O190" s="6">
        <v>233</v>
      </c>
      <c r="P190" s="6">
        <v>233</v>
      </c>
      <c r="Q190" s="6">
        <v>233</v>
      </c>
      <c r="R190" s="6">
        <v>699</v>
      </c>
      <c r="S190" s="6">
        <v>233</v>
      </c>
      <c r="T190" s="6">
        <v>233</v>
      </c>
      <c r="U190" s="6">
        <v>232</v>
      </c>
      <c r="V190" s="6">
        <v>698</v>
      </c>
      <c r="W190" s="6">
        <v>230</v>
      </c>
      <c r="X190" s="6">
        <v>231</v>
      </c>
      <c r="Y190" s="6">
        <v>231</v>
      </c>
      <c r="Z190" s="6">
        <v>692</v>
      </c>
      <c r="AA190" s="4">
        <v>699</v>
      </c>
      <c r="AB190" s="25">
        <v>1162</v>
      </c>
      <c r="AC190" s="25">
        <v>1400</v>
      </c>
      <c r="AD190" s="25">
        <v>1162</v>
      </c>
      <c r="AE190">
        <v>6282</v>
      </c>
      <c r="AF190" t="s">
        <v>198</v>
      </c>
      <c r="AG190" t="s">
        <v>198</v>
      </c>
      <c r="AH190" s="33">
        <v>7.051006553897543E-2</v>
      </c>
      <c r="AI190" s="12">
        <v>1.7423703990868171E-2</v>
      </c>
      <c r="AJ190">
        <v>0</v>
      </c>
      <c r="AK190">
        <v>0</v>
      </c>
    </row>
    <row r="191" spans="1:37" ht="15.75" x14ac:dyDescent="0.25">
      <c r="A191" s="4">
        <v>190</v>
      </c>
      <c r="B191" s="5" t="s">
        <v>236</v>
      </c>
      <c r="C191" s="5" t="s">
        <v>20</v>
      </c>
      <c r="D191" s="5" t="s">
        <v>26</v>
      </c>
      <c r="E191" s="30">
        <v>37201</v>
      </c>
      <c r="F191" s="4" t="s">
        <v>240</v>
      </c>
      <c r="G191" s="6">
        <v>470</v>
      </c>
      <c r="H191" s="6">
        <v>470</v>
      </c>
      <c r="I191" s="6">
        <v>470</v>
      </c>
      <c r="J191" s="6">
        <v>1410</v>
      </c>
      <c r="K191" s="6">
        <v>470</v>
      </c>
      <c r="L191" s="6">
        <v>470</v>
      </c>
      <c r="M191" s="6">
        <v>469</v>
      </c>
      <c r="N191" s="6">
        <v>1409</v>
      </c>
      <c r="O191" s="6">
        <v>469</v>
      </c>
      <c r="P191" s="6">
        <v>469</v>
      </c>
      <c r="Q191" s="6">
        <v>469</v>
      </c>
      <c r="R191" s="6">
        <v>1407</v>
      </c>
      <c r="S191" s="6">
        <v>468</v>
      </c>
      <c r="T191" s="6">
        <v>468</v>
      </c>
      <c r="U191" s="6">
        <v>468</v>
      </c>
      <c r="V191" s="6">
        <v>1404</v>
      </c>
      <c r="W191" s="6">
        <v>467</v>
      </c>
      <c r="X191" s="6">
        <v>467</v>
      </c>
      <c r="Y191" s="6">
        <v>467</v>
      </c>
      <c r="Z191" s="6">
        <v>1401</v>
      </c>
      <c r="AA191" s="4">
        <v>1410</v>
      </c>
      <c r="AB191" s="25">
        <v>2344</v>
      </c>
      <c r="AC191" s="25">
        <v>2068</v>
      </c>
      <c r="AD191" s="25">
        <v>2343</v>
      </c>
      <c r="AE191">
        <v>12661</v>
      </c>
      <c r="AF191" t="s">
        <v>198</v>
      </c>
      <c r="AG191" t="s">
        <v>198</v>
      </c>
      <c r="AH191" s="33">
        <v>0.66693925003216892</v>
      </c>
      <c r="AI191" s="12">
        <v>0</v>
      </c>
      <c r="AJ191">
        <v>0</v>
      </c>
      <c r="AK191">
        <v>0</v>
      </c>
    </row>
    <row r="192" spans="1:37" ht="15.75" x14ac:dyDescent="0.25">
      <c r="A192" s="4">
        <v>191</v>
      </c>
      <c r="B192" s="5" t="s">
        <v>236</v>
      </c>
      <c r="C192" s="5" t="s">
        <v>20</v>
      </c>
      <c r="D192" s="5" t="s">
        <v>26</v>
      </c>
      <c r="E192" s="30">
        <v>8665</v>
      </c>
      <c r="F192" s="4" t="s">
        <v>241</v>
      </c>
      <c r="G192" s="6">
        <v>194</v>
      </c>
      <c r="H192" s="6">
        <v>194</v>
      </c>
      <c r="I192" s="6">
        <v>194</v>
      </c>
      <c r="J192" s="6">
        <v>582</v>
      </c>
      <c r="K192" s="6">
        <v>194</v>
      </c>
      <c r="L192" s="6">
        <v>192</v>
      </c>
      <c r="M192" s="6">
        <v>182</v>
      </c>
      <c r="N192" s="6">
        <v>568</v>
      </c>
      <c r="O192" s="6">
        <v>182</v>
      </c>
      <c r="P192" s="6">
        <v>182</v>
      </c>
      <c r="Q192" s="6">
        <v>182</v>
      </c>
      <c r="R192" s="6">
        <v>546</v>
      </c>
      <c r="S192" s="6">
        <v>182</v>
      </c>
      <c r="T192" s="6">
        <v>182</v>
      </c>
      <c r="U192" s="6">
        <v>182</v>
      </c>
      <c r="V192" s="6">
        <v>546</v>
      </c>
      <c r="W192" s="6">
        <v>182</v>
      </c>
      <c r="X192" s="6">
        <v>182</v>
      </c>
      <c r="Y192" s="6">
        <v>182</v>
      </c>
      <c r="Z192" s="6">
        <v>546</v>
      </c>
      <c r="AA192" s="4">
        <v>582</v>
      </c>
      <c r="AB192" s="25">
        <v>934</v>
      </c>
      <c r="AC192" s="25">
        <v>971</v>
      </c>
      <c r="AD192" s="25">
        <v>922</v>
      </c>
      <c r="AE192">
        <v>5030</v>
      </c>
      <c r="AF192" t="s">
        <v>198</v>
      </c>
      <c r="AG192" t="s">
        <v>198</v>
      </c>
      <c r="AH192" s="33">
        <v>0.22220304706720451</v>
      </c>
      <c r="AI192" s="12" t="e">
        <v>#N/A</v>
      </c>
      <c r="AJ192">
        <v>0</v>
      </c>
      <c r="AK192">
        <v>0</v>
      </c>
    </row>
    <row r="193" spans="1:37" ht="15.75" x14ac:dyDescent="0.25">
      <c r="A193" s="4">
        <v>192</v>
      </c>
      <c r="B193" s="5" t="s">
        <v>236</v>
      </c>
      <c r="C193" s="5" t="s">
        <v>20</v>
      </c>
      <c r="D193" s="5" t="s">
        <v>27</v>
      </c>
      <c r="E193" s="30">
        <v>7745</v>
      </c>
      <c r="F193" s="4" t="s">
        <v>240</v>
      </c>
      <c r="G193" s="6">
        <v>233</v>
      </c>
      <c r="H193" s="6">
        <v>233</v>
      </c>
      <c r="I193" s="6">
        <v>233</v>
      </c>
      <c r="J193" s="6">
        <v>699</v>
      </c>
      <c r="K193" s="6">
        <v>233</v>
      </c>
      <c r="L193" s="6">
        <v>233</v>
      </c>
      <c r="M193" s="6">
        <v>233</v>
      </c>
      <c r="N193" s="6">
        <v>699</v>
      </c>
      <c r="O193" s="6">
        <v>232</v>
      </c>
      <c r="P193" s="6">
        <v>232</v>
      </c>
      <c r="Q193" s="6">
        <v>232</v>
      </c>
      <c r="R193" s="6">
        <v>696</v>
      </c>
      <c r="S193" s="6">
        <v>232</v>
      </c>
      <c r="T193" s="6">
        <v>231</v>
      </c>
      <c r="U193" s="6">
        <v>231</v>
      </c>
      <c r="V193" s="6">
        <v>694</v>
      </c>
      <c r="W193" s="6">
        <v>231</v>
      </c>
      <c r="X193" s="6">
        <v>231</v>
      </c>
      <c r="Y193" s="6">
        <v>231</v>
      </c>
      <c r="Z193" s="6">
        <v>693</v>
      </c>
      <c r="AA193" s="4">
        <v>699</v>
      </c>
      <c r="AB193" s="25">
        <v>1161</v>
      </c>
      <c r="AC193" s="25">
        <v>1157</v>
      </c>
      <c r="AD193" s="25">
        <v>1160</v>
      </c>
      <c r="AE193">
        <v>6269</v>
      </c>
      <c r="AF193" t="s">
        <v>198</v>
      </c>
      <c r="AG193" t="s">
        <v>198</v>
      </c>
      <c r="AH193" s="33">
        <v>0.13281217685489</v>
      </c>
      <c r="AI193" s="12">
        <v>0</v>
      </c>
      <c r="AJ193">
        <v>0</v>
      </c>
      <c r="AK193">
        <v>0</v>
      </c>
    </row>
    <row r="194" spans="1:37" ht="15.75" x14ac:dyDescent="0.25">
      <c r="A194" s="4">
        <v>193</v>
      </c>
      <c r="B194" s="5" t="s">
        <v>236</v>
      </c>
      <c r="C194" s="5" t="s">
        <v>20</v>
      </c>
      <c r="D194" s="5" t="s">
        <v>27</v>
      </c>
      <c r="E194" s="30">
        <v>781</v>
      </c>
      <c r="F194" s="4" t="s">
        <v>240</v>
      </c>
      <c r="G194" s="6">
        <v>231</v>
      </c>
      <c r="H194" s="6">
        <v>230</v>
      </c>
      <c r="I194" s="6">
        <v>230</v>
      </c>
      <c r="J194" s="6">
        <v>691</v>
      </c>
      <c r="K194" s="6">
        <v>230</v>
      </c>
      <c r="L194" s="6">
        <v>229</v>
      </c>
      <c r="M194" s="6">
        <v>229</v>
      </c>
      <c r="N194" s="6">
        <v>688</v>
      </c>
      <c r="O194" s="6">
        <v>229</v>
      </c>
      <c r="P194" s="6">
        <v>229</v>
      </c>
      <c r="Q194" s="6">
        <v>229</v>
      </c>
      <c r="R194" s="6">
        <v>687</v>
      </c>
      <c r="S194" s="6">
        <v>228</v>
      </c>
      <c r="T194" s="6">
        <v>227</v>
      </c>
      <c r="U194" s="6">
        <v>227</v>
      </c>
      <c r="V194" s="6">
        <v>682</v>
      </c>
      <c r="W194" s="6">
        <v>226</v>
      </c>
      <c r="X194" s="6">
        <v>225</v>
      </c>
      <c r="Y194" s="6">
        <v>225</v>
      </c>
      <c r="Z194" s="6">
        <v>676</v>
      </c>
      <c r="AA194" s="4">
        <v>691</v>
      </c>
      <c r="AB194" s="25">
        <v>1143</v>
      </c>
      <c r="AC194" s="25">
        <v>1595</v>
      </c>
      <c r="AD194" s="25">
        <v>1140</v>
      </c>
      <c r="AE194">
        <v>6172</v>
      </c>
      <c r="AF194" t="s">
        <v>198</v>
      </c>
      <c r="AG194" t="s">
        <v>198</v>
      </c>
      <c r="AH194" s="33">
        <v>0.5676908511893618</v>
      </c>
      <c r="AI194" s="12">
        <v>5.1172659759373379E-2</v>
      </c>
      <c r="AJ194">
        <v>0</v>
      </c>
      <c r="AK194">
        <v>0</v>
      </c>
    </row>
    <row r="195" spans="1:37" ht="15.75" x14ac:dyDescent="0.25">
      <c r="A195" s="4">
        <v>194</v>
      </c>
      <c r="B195" s="5" t="s">
        <v>237</v>
      </c>
      <c r="C195" s="5" t="s">
        <v>101</v>
      </c>
      <c r="D195" s="5" t="s">
        <v>102</v>
      </c>
      <c r="E195" s="7">
        <v>1118</v>
      </c>
      <c r="F195" s="4" t="s">
        <v>240</v>
      </c>
      <c r="G195" s="6">
        <v>686</v>
      </c>
      <c r="H195" s="6">
        <v>685</v>
      </c>
      <c r="I195" s="6">
        <v>685</v>
      </c>
      <c r="J195" s="6">
        <v>2056</v>
      </c>
      <c r="K195" s="6">
        <v>685</v>
      </c>
      <c r="L195" s="6">
        <v>685</v>
      </c>
      <c r="M195" s="6">
        <v>685</v>
      </c>
      <c r="N195" s="6">
        <v>2055</v>
      </c>
      <c r="O195" s="6">
        <v>685</v>
      </c>
      <c r="P195" s="6">
        <v>685</v>
      </c>
      <c r="Q195" s="6">
        <v>685</v>
      </c>
      <c r="R195" s="6">
        <v>2055</v>
      </c>
      <c r="S195" s="6">
        <v>685</v>
      </c>
      <c r="T195" s="6">
        <v>685</v>
      </c>
      <c r="U195" s="6">
        <v>685</v>
      </c>
      <c r="V195" s="6">
        <v>2055</v>
      </c>
      <c r="W195" s="6">
        <v>685</v>
      </c>
      <c r="X195" s="6">
        <v>685</v>
      </c>
      <c r="Y195" s="6">
        <v>685</v>
      </c>
      <c r="Z195" s="6">
        <v>2055</v>
      </c>
      <c r="AA195" s="4">
        <v>2056</v>
      </c>
      <c r="AB195" s="25">
        <v>3425</v>
      </c>
      <c r="AC195" s="25">
        <v>4120</v>
      </c>
      <c r="AD195" s="25">
        <v>3425</v>
      </c>
      <c r="AE195">
        <v>18497</v>
      </c>
      <c r="AF195" t="s">
        <v>198</v>
      </c>
      <c r="AG195" t="s">
        <v>199</v>
      </c>
      <c r="AH195" s="33">
        <v>0.77763103335844619</v>
      </c>
      <c r="AI195" s="12">
        <v>0</v>
      </c>
      <c r="AJ195">
        <v>0</v>
      </c>
      <c r="AK195">
        <v>0</v>
      </c>
    </row>
    <row r="196" spans="1:37" ht="15.75" x14ac:dyDescent="0.25">
      <c r="A196" s="4">
        <v>195</v>
      </c>
      <c r="B196" s="5" t="s">
        <v>237</v>
      </c>
      <c r="C196" s="5" t="s">
        <v>101</v>
      </c>
      <c r="D196" s="5" t="s">
        <v>103</v>
      </c>
      <c r="E196" s="30">
        <v>8571</v>
      </c>
      <c r="F196" s="4" t="s">
        <v>240</v>
      </c>
      <c r="G196" s="6">
        <v>1380</v>
      </c>
      <c r="H196" s="6">
        <v>1380</v>
      </c>
      <c r="I196" s="6">
        <v>1380</v>
      </c>
      <c r="J196" s="6">
        <v>4140</v>
      </c>
      <c r="K196" s="6">
        <v>1380</v>
      </c>
      <c r="L196" s="6">
        <v>1380</v>
      </c>
      <c r="M196" s="6">
        <v>1380</v>
      </c>
      <c r="N196" s="6">
        <v>4140</v>
      </c>
      <c r="O196" s="6">
        <v>1380</v>
      </c>
      <c r="P196" s="6">
        <v>1380</v>
      </c>
      <c r="Q196" s="6">
        <v>1380</v>
      </c>
      <c r="R196" s="6">
        <v>4140</v>
      </c>
      <c r="S196" s="6">
        <v>1380</v>
      </c>
      <c r="T196" s="6">
        <v>1380</v>
      </c>
      <c r="U196" s="6">
        <v>1380</v>
      </c>
      <c r="V196" s="6">
        <v>4140</v>
      </c>
      <c r="W196" s="6">
        <v>1379</v>
      </c>
      <c r="X196" s="6">
        <v>1380</v>
      </c>
      <c r="Y196" s="6">
        <v>1380</v>
      </c>
      <c r="Z196" s="6">
        <v>4139</v>
      </c>
      <c r="AA196" s="4">
        <v>4140</v>
      </c>
      <c r="AB196" s="25">
        <v>6899</v>
      </c>
      <c r="AC196" s="25">
        <v>5650</v>
      </c>
      <c r="AD196" s="25">
        <v>6900</v>
      </c>
      <c r="AE196">
        <v>37259</v>
      </c>
      <c r="AF196" t="s">
        <v>198</v>
      </c>
      <c r="AG196" t="s">
        <v>198</v>
      </c>
      <c r="AH196" s="33">
        <v>0.98829586354940402</v>
      </c>
      <c r="AI196" s="12">
        <v>2.0431780239793595E-2</v>
      </c>
      <c r="AJ196">
        <v>0</v>
      </c>
      <c r="AK196">
        <v>0</v>
      </c>
    </row>
    <row r="197" spans="1:37" ht="15.75" x14ac:dyDescent="0.25">
      <c r="A197" s="4">
        <v>196</v>
      </c>
      <c r="B197" s="5" t="s">
        <v>237</v>
      </c>
      <c r="C197" s="5" t="s">
        <v>101</v>
      </c>
      <c r="D197" s="5" t="s">
        <v>104</v>
      </c>
      <c r="E197" s="30">
        <v>24264</v>
      </c>
      <c r="F197" s="4" t="s">
        <v>241</v>
      </c>
      <c r="G197" s="6">
        <v>130</v>
      </c>
      <c r="H197" s="6">
        <v>130</v>
      </c>
      <c r="I197" s="6">
        <v>130</v>
      </c>
      <c r="J197" s="6">
        <v>390</v>
      </c>
      <c r="K197" s="6">
        <v>130</v>
      </c>
      <c r="L197" s="6">
        <v>130</v>
      </c>
      <c r="M197" s="6">
        <v>130</v>
      </c>
      <c r="N197" s="6">
        <v>390</v>
      </c>
      <c r="O197" s="6">
        <v>130</v>
      </c>
      <c r="P197" s="6">
        <v>130</v>
      </c>
      <c r="Q197" s="6">
        <v>130</v>
      </c>
      <c r="R197" s="6">
        <v>390</v>
      </c>
      <c r="S197" s="6">
        <v>130</v>
      </c>
      <c r="T197" s="6">
        <v>130</v>
      </c>
      <c r="U197" s="6">
        <v>130</v>
      </c>
      <c r="V197" s="6">
        <v>390</v>
      </c>
      <c r="W197" s="6">
        <v>130</v>
      </c>
      <c r="X197" s="6">
        <v>130</v>
      </c>
      <c r="Y197" s="6">
        <v>130</v>
      </c>
      <c r="Z197" s="6">
        <v>390</v>
      </c>
      <c r="AA197" s="4">
        <v>390</v>
      </c>
      <c r="AB197" s="25">
        <v>650</v>
      </c>
      <c r="AC197" s="25">
        <v>770</v>
      </c>
      <c r="AD197" s="25">
        <v>650</v>
      </c>
      <c r="AE197">
        <v>3510</v>
      </c>
      <c r="AF197" t="s">
        <v>198</v>
      </c>
      <c r="AG197" t="s">
        <v>198</v>
      </c>
      <c r="AH197" s="33">
        <v>0.78290064456125452</v>
      </c>
      <c r="AI197" s="12">
        <v>3.7069726390114736E-2</v>
      </c>
      <c r="AJ197">
        <v>0</v>
      </c>
      <c r="AK197">
        <v>0</v>
      </c>
    </row>
    <row r="198" spans="1:37" ht="15.75" x14ac:dyDescent="0.25">
      <c r="A198" s="4">
        <v>197</v>
      </c>
      <c r="B198" s="5" t="s">
        <v>237</v>
      </c>
      <c r="C198" s="5" t="s">
        <v>101</v>
      </c>
      <c r="D198" s="5" t="s">
        <v>105</v>
      </c>
      <c r="E198" s="30">
        <v>15008</v>
      </c>
      <c r="F198" s="4" t="s">
        <v>241</v>
      </c>
      <c r="G198" s="6">
        <v>250</v>
      </c>
      <c r="H198" s="6">
        <v>250</v>
      </c>
      <c r="I198" s="6">
        <v>250</v>
      </c>
      <c r="J198" s="6">
        <v>750</v>
      </c>
      <c r="K198" s="6">
        <v>250</v>
      </c>
      <c r="L198" s="6">
        <v>250</v>
      </c>
      <c r="M198" s="6">
        <v>250</v>
      </c>
      <c r="N198" s="6">
        <v>750</v>
      </c>
      <c r="O198" s="6">
        <v>250</v>
      </c>
      <c r="P198" s="6">
        <v>250</v>
      </c>
      <c r="Q198" s="6">
        <v>250</v>
      </c>
      <c r="R198" s="6">
        <v>750</v>
      </c>
      <c r="S198" s="6">
        <v>250</v>
      </c>
      <c r="T198" s="6">
        <v>250</v>
      </c>
      <c r="U198" s="6">
        <v>250</v>
      </c>
      <c r="V198" s="6">
        <v>750</v>
      </c>
      <c r="W198" s="6">
        <v>250</v>
      </c>
      <c r="X198" s="6">
        <v>250</v>
      </c>
      <c r="Y198" s="6">
        <v>250</v>
      </c>
      <c r="Z198" s="6">
        <v>750</v>
      </c>
      <c r="AA198" s="4">
        <v>750</v>
      </c>
      <c r="AB198" s="25">
        <v>1250</v>
      </c>
      <c r="AC198" s="25">
        <v>1490</v>
      </c>
      <c r="AD198" s="25">
        <v>1250</v>
      </c>
      <c r="AE198">
        <v>6750</v>
      </c>
      <c r="AF198" t="s">
        <v>198</v>
      </c>
      <c r="AG198" t="s">
        <v>198</v>
      </c>
      <c r="AH198" s="33">
        <v>0.1121745961173416</v>
      </c>
      <c r="AI198" s="12">
        <v>1.9770452795856954E-2</v>
      </c>
      <c r="AJ198">
        <v>0</v>
      </c>
      <c r="AK198">
        <v>0</v>
      </c>
    </row>
    <row r="199" spans="1:37" ht="15.75" x14ac:dyDescent="0.25">
      <c r="A199" s="4">
        <v>198</v>
      </c>
      <c r="B199" s="5" t="s">
        <v>237</v>
      </c>
      <c r="C199" s="5" t="s">
        <v>101</v>
      </c>
      <c r="D199" s="5" t="s">
        <v>106</v>
      </c>
      <c r="E199" s="30">
        <v>63</v>
      </c>
      <c r="F199" s="4" t="s">
        <v>241</v>
      </c>
      <c r="G199" s="6">
        <v>490</v>
      </c>
      <c r="H199" s="6">
        <v>490</v>
      </c>
      <c r="I199" s="6">
        <v>490</v>
      </c>
      <c r="J199" s="6">
        <v>1470</v>
      </c>
      <c r="K199" s="6">
        <v>490</v>
      </c>
      <c r="L199" s="6">
        <v>490</v>
      </c>
      <c r="M199" s="6">
        <v>490</v>
      </c>
      <c r="N199" s="6">
        <v>1470</v>
      </c>
      <c r="O199" s="6">
        <v>490</v>
      </c>
      <c r="P199" s="6">
        <v>490</v>
      </c>
      <c r="Q199" s="6">
        <v>490</v>
      </c>
      <c r="R199" s="6">
        <v>1470</v>
      </c>
      <c r="S199" s="6">
        <v>490</v>
      </c>
      <c r="T199" s="6">
        <v>490</v>
      </c>
      <c r="U199" s="6">
        <v>490</v>
      </c>
      <c r="V199" s="6">
        <v>1470</v>
      </c>
      <c r="W199" s="6">
        <v>490</v>
      </c>
      <c r="X199" s="6">
        <v>490</v>
      </c>
      <c r="Y199" s="6">
        <v>490</v>
      </c>
      <c r="Z199" s="6">
        <v>1470</v>
      </c>
      <c r="AA199" s="4">
        <v>1470</v>
      </c>
      <c r="AB199" s="25">
        <v>2450</v>
      </c>
      <c r="AC199" s="25">
        <v>2090</v>
      </c>
      <c r="AD199" s="25">
        <v>2450</v>
      </c>
      <c r="AE199">
        <v>13230</v>
      </c>
      <c r="AF199" t="s">
        <v>199</v>
      </c>
      <c r="AG199" t="s">
        <v>199</v>
      </c>
      <c r="AH199" s="33">
        <v>0.28854195588493736</v>
      </c>
      <c r="AI199" s="12">
        <v>0</v>
      </c>
      <c r="AJ199">
        <v>1</v>
      </c>
      <c r="AK199">
        <v>0</v>
      </c>
    </row>
    <row r="200" spans="1:37" ht="15.75" x14ac:dyDescent="0.25">
      <c r="A200" s="4">
        <v>199</v>
      </c>
      <c r="B200" s="5" t="s">
        <v>237</v>
      </c>
      <c r="C200" s="5" t="s">
        <v>101</v>
      </c>
      <c r="D200" s="5" t="s">
        <v>107</v>
      </c>
      <c r="E200" s="30">
        <v>141</v>
      </c>
      <c r="F200" s="4" t="s">
        <v>241</v>
      </c>
      <c r="G200" s="6">
        <v>130</v>
      </c>
      <c r="H200" s="6">
        <v>130</v>
      </c>
      <c r="I200" s="6">
        <v>130</v>
      </c>
      <c r="J200" s="6">
        <v>390</v>
      </c>
      <c r="K200" s="6">
        <v>130</v>
      </c>
      <c r="L200" s="6">
        <v>130</v>
      </c>
      <c r="M200" s="6">
        <v>130</v>
      </c>
      <c r="N200" s="6">
        <v>390</v>
      </c>
      <c r="O200" s="6">
        <v>130</v>
      </c>
      <c r="P200" s="6">
        <v>130</v>
      </c>
      <c r="Q200" s="6">
        <v>130</v>
      </c>
      <c r="R200" s="6">
        <v>390</v>
      </c>
      <c r="S200" s="6">
        <v>130</v>
      </c>
      <c r="T200" s="6">
        <v>130</v>
      </c>
      <c r="U200" s="6">
        <v>130</v>
      </c>
      <c r="V200" s="6">
        <v>390</v>
      </c>
      <c r="W200" s="6">
        <v>130</v>
      </c>
      <c r="X200" s="6">
        <v>130</v>
      </c>
      <c r="Y200" s="6">
        <v>130</v>
      </c>
      <c r="Z200" s="6">
        <v>390</v>
      </c>
      <c r="AA200" s="4">
        <v>390</v>
      </c>
      <c r="AB200" s="25">
        <v>650</v>
      </c>
      <c r="AC200" s="25">
        <v>1210</v>
      </c>
      <c r="AD200" s="25">
        <v>650</v>
      </c>
      <c r="AE200">
        <v>3510</v>
      </c>
      <c r="AF200" t="s">
        <v>199</v>
      </c>
      <c r="AG200" t="s">
        <v>199</v>
      </c>
      <c r="AH200" s="33">
        <v>0.96229223428750721</v>
      </c>
      <c r="AI200" s="12">
        <v>5.8884826648298277E-2</v>
      </c>
      <c r="AJ200">
        <v>0</v>
      </c>
      <c r="AK200">
        <v>0</v>
      </c>
    </row>
    <row r="201" spans="1:37" ht="15.75" x14ac:dyDescent="0.25">
      <c r="A201" s="4">
        <v>200</v>
      </c>
      <c r="B201" s="5" t="s">
        <v>237</v>
      </c>
      <c r="C201" s="5" t="s">
        <v>101</v>
      </c>
      <c r="D201" s="5" t="s">
        <v>108</v>
      </c>
      <c r="E201" s="30">
        <v>9529</v>
      </c>
      <c r="F201" s="4" t="s">
        <v>240</v>
      </c>
      <c r="G201" s="6">
        <v>690</v>
      </c>
      <c r="H201" s="6">
        <v>690</v>
      </c>
      <c r="I201" s="6">
        <v>690</v>
      </c>
      <c r="J201" s="6">
        <v>2070</v>
      </c>
      <c r="K201" s="6">
        <v>690</v>
      </c>
      <c r="L201" s="6">
        <v>690</v>
      </c>
      <c r="M201" s="6">
        <v>690</v>
      </c>
      <c r="N201" s="6">
        <v>2070</v>
      </c>
      <c r="O201" s="6">
        <v>690</v>
      </c>
      <c r="P201" s="6">
        <v>690</v>
      </c>
      <c r="Q201" s="6">
        <v>690</v>
      </c>
      <c r="R201" s="6">
        <v>2070</v>
      </c>
      <c r="S201" s="6">
        <v>690</v>
      </c>
      <c r="T201" s="6">
        <v>690</v>
      </c>
      <c r="U201" s="6">
        <v>690</v>
      </c>
      <c r="V201" s="6">
        <v>2070</v>
      </c>
      <c r="W201" s="6">
        <v>690</v>
      </c>
      <c r="X201" s="6">
        <v>690</v>
      </c>
      <c r="Y201" s="6">
        <v>690</v>
      </c>
      <c r="Z201" s="6">
        <v>2070</v>
      </c>
      <c r="AA201" s="4">
        <v>2070</v>
      </c>
      <c r="AB201" s="25">
        <v>3450</v>
      </c>
      <c r="AC201" s="25">
        <v>3080</v>
      </c>
      <c r="AD201" s="25">
        <v>3450</v>
      </c>
      <c r="AE201">
        <v>18630</v>
      </c>
      <c r="AF201" t="s">
        <v>198</v>
      </c>
      <c r="AG201" t="s">
        <v>198</v>
      </c>
      <c r="AH201" s="33">
        <v>0.49835616985630637</v>
      </c>
      <c r="AI201" s="12">
        <v>0</v>
      </c>
      <c r="AJ201">
        <v>0</v>
      </c>
      <c r="AK201">
        <v>0</v>
      </c>
    </row>
    <row r="202" spans="1:37" ht="15.75" x14ac:dyDescent="0.25">
      <c r="A202" s="4">
        <v>201</v>
      </c>
      <c r="B202" s="5" t="s">
        <v>237</v>
      </c>
      <c r="C202" s="5" t="s">
        <v>101</v>
      </c>
      <c r="D202" s="5" t="s">
        <v>109</v>
      </c>
      <c r="E202" s="30">
        <v>16596</v>
      </c>
      <c r="F202" s="4" t="s">
        <v>241</v>
      </c>
      <c r="G202" s="6">
        <v>320</v>
      </c>
      <c r="H202" s="6">
        <v>320</v>
      </c>
      <c r="I202" s="6">
        <v>320</v>
      </c>
      <c r="J202" s="6">
        <v>960</v>
      </c>
      <c r="K202" s="6">
        <v>320</v>
      </c>
      <c r="L202" s="6">
        <v>320</v>
      </c>
      <c r="M202" s="6">
        <v>320</v>
      </c>
      <c r="N202" s="6">
        <v>960</v>
      </c>
      <c r="O202" s="6">
        <v>320</v>
      </c>
      <c r="P202" s="6">
        <v>320</v>
      </c>
      <c r="Q202" s="6">
        <v>320</v>
      </c>
      <c r="R202" s="6">
        <v>960</v>
      </c>
      <c r="S202" s="6">
        <v>320</v>
      </c>
      <c r="T202" s="6">
        <v>320</v>
      </c>
      <c r="U202" s="6">
        <v>320</v>
      </c>
      <c r="V202" s="6">
        <v>960</v>
      </c>
      <c r="W202" s="6">
        <v>320</v>
      </c>
      <c r="X202" s="6">
        <v>320</v>
      </c>
      <c r="Y202" s="6">
        <v>320</v>
      </c>
      <c r="Z202" s="6">
        <v>960</v>
      </c>
      <c r="AA202" s="4">
        <v>960</v>
      </c>
      <c r="AB202" s="25">
        <v>1600</v>
      </c>
      <c r="AC202" s="25">
        <v>1744</v>
      </c>
      <c r="AD202" s="25">
        <v>1600</v>
      </c>
      <c r="AE202">
        <v>8640</v>
      </c>
      <c r="AF202" t="s">
        <v>198</v>
      </c>
      <c r="AG202" t="s">
        <v>198</v>
      </c>
      <c r="AH202" s="33">
        <v>0.4497167892232824</v>
      </c>
      <c r="AI202" s="12">
        <v>3.5868424122244252E-2</v>
      </c>
      <c r="AJ202">
        <v>0</v>
      </c>
      <c r="AK202">
        <v>0</v>
      </c>
    </row>
    <row r="203" spans="1:37" ht="15.75" x14ac:dyDescent="0.25">
      <c r="A203" s="4">
        <v>202</v>
      </c>
      <c r="B203" s="5" t="s">
        <v>237</v>
      </c>
      <c r="C203" s="5" t="s">
        <v>80</v>
      </c>
      <c r="D203" s="5" t="s">
        <v>81</v>
      </c>
      <c r="E203" s="30">
        <v>37406</v>
      </c>
      <c r="F203" s="4" t="s">
        <v>240</v>
      </c>
      <c r="G203" s="6">
        <v>467</v>
      </c>
      <c r="H203" s="6">
        <v>464</v>
      </c>
      <c r="I203" s="6">
        <v>464</v>
      </c>
      <c r="J203" s="6">
        <v>1395</v>
      </c>
      <c r="K203" s="6">
        <v>464</v>
      </c>
      <c r="L203" s="6">
        <v>464</v>
      </c>
      <c r="M203" s="6">
        <v>464</v>
      </c>
      <c r="N203" s="6">
        <v>1392</v>
      </c>
      <c r="O203" s="6">
        <v>464</v>
      </c>
      <c r="P203" s="6">
        <v>464</v>
      </c>
      <c r="Q203" s="6">
        <v>464</v>
      </c>
      <c r="R203" s="6">
        <v>1392</v>
      </c>
      <c r="S203" s="6">
        <v>464</v>
      </c>
      <c r="T203" s="6">
        <v>464</v>
      </c>
      <c r="U203" s="6">
        <v>464</v>
      </c>
      <c r="V203" s="6">
        <v>1392</v>
      </c>
      <c r="W203" s="6">
        <v>464</v>
      </c>
      <c r="X203" s="6">
        <v>464</v>
      </c>
      <c r="Y203" s="6">
        <v>464</v>
      </c>
      <c r="Z203" s="6">
        <v>1392</v>
      </c>
      <c r="AA203" s="4">
        <v>1395</v>
      </c>
      <c r="AB203" s="25">
        <v>2320</v>
      </c>
      <c r="AC203" s="25">
        <v>2048</v>
      </c>
      <c r="AD203" s="25">
        <v>2320</v>
      </c>
      <c r="AE203">
        <v>12534</v>
      </c>
      <c r="AF203" t="s">
        <v>198</v>
      </c>
      <c r="AG203" t="s">
        <v>198</v>
      </c>
      <c r="AH203" s="33">
        <v>5.7208425219451464E-2</v>
      </c>
      <c r="AI203" s="12">
        <v>3.113941967445152E-2</v>
      </c>
      <c r="AJ203">
        <v>0</v>
      </c>
      <c r="AK203">
        <v>0</v>
      </c>
    </row>
    <row r="204" spans="1:37" ht="15.75" x14ac:dyDescent="0.25">
      <c r="A204" s="4">
        <v>203</v>
      </c>
      <c r="B204" s="5" t="s">
        <v>237</v>
      </c>
      <c r="C204" s="5" t="s">
        <v>80</v>
      </c>
      <c r="D204" s="5" t="s">
        <v>82</v>
      </c>
      <c r="E204" s="30">
        <v>33978</v>
      </c>
      <c r="F204" s="4" t="s">
        <v>241</v>
      </c>
      <c r="G204" s="6">
        <v>196</v>
      </c>
      <c r="H204" s="6">
        <v>192</v>
      </c>
      <c r="I204" s="6">
        <v>192</v>
      </c>
      <c r="J204" s="6">
        <v>580</v>
      </c>
      <c r="K204" s="6">
        <v>192</v>
      </c>
      <c r="L204" s="6">
        <v>192</v>
      </c>
      <c r="M204" s="6">
        <v>192</v>
      </c>
      <c r="N204" s="6">
        <v>576</v>
      </c>
      <c r="O204" s="6">
        <v>192</v>
      </c>
      <c r="P204" s="6">
        <v>192</v>
      </c>
      <c r="Q204" s="6">
        <v>192</v>
      </c>
      <c r="R204" s="6">
        <v>576</v>
      </c>
      <c r="S204" s="6">
        <v>192</v>
      </c>
      <c r="T204" s="6">
        <v>192</v>
      </c>
      <c r="U204" s="6">
        <v>192</v>
      </c>
      <c r="V204" s="6">
        <v>576</v>
      </c>
      <c r="W204" s="6">
        <v>192</v>
      </c>
      <c r="X204" s="6">
        <v>192</v>
      </c>
      <c r="Y204" s="6">
        <v>192</v>
      </c>
      <c r="Z204" s="6">
        <v>576</v>
      </c>
      <c r="AA204" s="4">
        <v>580</v>
      </c>
      <c r="AB204" s="25">
        <v>960</v>
      </c>
      <c r="AC204" s="25">
        <v>1232</v>
      </c>
      <c r="AD204" s="25">
        <v>960</v>
      </c>
      <c r="AE204">
        <v>5192</v>
      </c>
      <c r="AF204" t="s">
        <v>199</v>
      </c>
      <c r="AG204" t="s">
        <v>199</v>
      </c>
      <c r="AH204" s="33">
        <v>9.6574553706316846E-2</v>
      </c>
      <c r="AI204" s="12">
        <v>7.2115384615384609E-2</v>
      </c>
      <c r="AJ204">
        <v>0</v>
      </c>
      <c r="AK204">
        <v>0</v>
      </c>
    </row>
    <row r="205" spans="1:37" ht="15.75" x14ac:dyDescent="0.25">
      <c r="A205" s="4">
        <v>204</v>
      </c>
      <c r="B205" s="5" t="s">
        <v>237</v>
      </c>
      <c r="C205" s="5" t="s">
        <v>80</v>
      </c>
      <c r="D205" s="5" t="s">
        <v>82</v>
      </c>
      <c r="E205" s="30">
        <v>33977</v>
      </c>
      <c r="F205" s="4" t="s">
        <v>240</v>
      </c>
      <c r="G205" s="6">
        <v>464</v>
      </c>
      <c r="H205" s="6">
        <v>464</v>
      </c>
      <c r="I205" s="6">
        <v>464</v>
      </c>
      <c r="J205" s="6">
        <v>1392</v>
      </c>
      <c r="K205" s="6">
        <v>464</v>
      </c>
      <c r="L205" s="6">
        <v>464</v>
      </c>
      <c r="M205" s="6">
        <v>464</v>
      </c>
      <c r="N205" s="6">
        <v>1392</v>
      </c>
      <c r="O205" s="6">
        <v>464</v>
      </c>
      <c r="P205" s="6">
        <v>464</v>
      </c>
      <c r="Q205" s="6">
        <v>464</v>
      </c>
      <c r="R205" s="6">
        <v>1392</v>
      </c>
      <c r="S205" s="6">
        <v>464</v>
      </c>
      <c r="T205" s="6">
        <v>464</v>
      </c>
      <c r="U205" s="6">
        <v>464</v>
      </c>
      <c r="V205" s="6">
        <v>1392</v>
      </c>
      <c r="W205" s="6">
        <v>464</v>
      </c>
      <c r="X205" s="6">
        <v>464</v>
      </c>
      <c r="Y205" s="6">
        <v>464</v>
      </c>
      <c r="Z205" s="6">
        <v>1392</v>
      </c>
      <c r="AA205" s="4">
        <v>1392</v>
      </c>
      <c r="AB205" s="25">
        <v>2320</v>
      </c>
      <c r="AC205" s="25">
        <v>2230</v>
      </c>
      <c r="AD205" s="25">
        <v>2320</v>
      </c>
      <c r="AE205">
        <v>12528</v>
      </c>
      <c r="AF205" t="s">
        <v>198</v>
      </c>
      <c r="AG205" t="s">
        <v>199</v>
      </c>
      <c r="AH205" s="33">
        <v>0.90550002183968759</v>
      </c>
      <c r="AI205" s="12">
        <v>0</v>
      </c>
      <c r="AJ205">
        <v>0</v>
      </c>
      <c r="AK205">
        <v>0</v>
      </c>
    </row>
    <row r="206" spans="1:37" ht="15.75" x14ac:dyDescent="0.25">
      <c r="A206" s="4">
        <v>205</v>
      </c>
      <c r="B206" s="5" t="s">
        <v>237</v>
      </c>
      <c r="C206" s="5" t="s">
        <v>80</v>
      </c>
      <c r="D206" s="5" t="s">
        <v>83</v>
      </c>
      <c r="E206" s="7">
        <v>8450</v>
      </c>
      <c r="F206" s="4" t="s">
        <v>241</v>
      </c>
      <c r="G206" s="6">
        <v>374</v>
      </c>
      <c r="H206" s="6">
        <v>374</v>
      </c>
      <c r="I206" s="6">
        <v>374</v>
      </c>
      <c r="J206" s="6">
        <v>1122</v>
      </c>
      <c r="K206" s="6">
        <v>374</v>
      </c>
      <c r="L206" s="6">
        <v>374</v>
      </c>
      <c r="M206" s="6">
        <v>374</v>
      </c>
      <c r="N206" s="6">
        <v>1122</v>
      </c>
      <c r="O206" s="6">
        <v>374</v>
      </c>
      <c r="P206" s="6">
        <v>374</v>
      </c>
      <c r="Q206" s="6">
        <v>374</v>
      </c>
      <c r="R206" s="6">
        <v>1122</v>
      </c>
      <c r="S206" s="6">
        <v>374</v>
      </c>
      <c r="T206" s="6">
        <v>374</v>
      </c>
      <c r="U206" s="6">
        <v>374</v>
      </c>
      <c r="V206" s="6">
        <v>1122</v>
      </c>
      <c r="W206" s="6">
        <v>374</v>
      </c>
      <c r="X206" s="6">
        <v>374</v>
      </c>
      <c r="Y206" s="6">
        <v>374</v>
      </c>
      <c r="Z206" s="6">
        <v>1122</v>
      </c>
      <c r="AA206" s="4">
        <v>1122</v>
      </c>
      <c r="AB206" s="25">
        <v>1870</v>
      </c>
      <c r="AC206" s="25">
        <v>2355</v>
      </c>
      <c r="AD206" s="25">
        <v>1870</v>
      </c>
      <c r="AE206">
        <v>10098</v>
      </c>
      <c r="AF206" t="s">
        <v>198</v>
      </c>
      <c r="AG206" t="s">
        <v>198</v>
      </c>
      <c r="AH206" s="33">
        <v>7.4812320466797089E-2</v>
      </c>
      <c r="AI206" s="12">
        <v>1.6196186193688067E-2</v>
      </c>
      <c r="AJ206">
        <v>0</v>
      </c>
      <c r="AK206">
        <v>0</v>
      </c>
    </row>
    <row r="207" spans="1:37" ht="15.75" x14ac:dyDescent="0.25">
      <c r="A207" s="4">
        <v>206</v>
      </c>
      <c r="B207" s="5" t="s">
        <v>237</v>
      </c>
      <c r="C207" s="5" t="s">
        <v>80</v>
      </c>
      <c r="D207" s="5" t="s">
        <v>83</v>
      </c>
      <c r="E207" s="7">
        <v>15822</v>
      </c>
      <c r="F207" s="4" t="s">
        <v>241</v>
      </c>
      <c r="G207" s="6">
        <v>859</v>
      </c>
      <c r="H207" s="6">
        <v>859</v>
      </c>
      <c r="I207" s="6">
        <v>859</v>
      </c>
      <c r="J207" s="6">
        <v>2577</v>
      </c>
      <c r="K207" s="6">
        <v>859</v>
      </c>
      <c r="L207" s="6">
        <v>859</v>
      </c>
      <c r="M207" s="6">
        <v>859</v>
      </c>
      <c r="N207" s="6">
        <v>2577</v>
      </c>
      <c r="O207" s="6">
        <v>859</v>
      </c>
      <c r="P207" s="6">
        <v>859</v>
      </c>
      <c r="Q207" s="6">
        <v>859</v>
      </c>
      <c r="R207" s="6">
        <v>2577</v>
      </c>
      <c r="S207" s="6">
        <v>859</v>
      </c>
      <c r="T207" s="6">
        <v>859</v>
      </c>
      <c r="U207" s="6">
        <v>859</v>
      </c>
      <c r="V207" s="6">
        <v>2577</v>
      </c>
      <c r="W207" s="6">
        <v>859</v>
      </c>
      <c r="X207" s="6">
        <v>859</v>
      </c>
      <c r="Y207" s="6">
        <v>859</v>
      </c>
      <c r="Z207" s="6">
        <v>2577</v>
      </c>
      <c r="AA207" s="4">
        <v>2577</v>
      </c>
      <c r="AB207" s="25">
        <v>4295</v>
      </c>
      <c r="AC207" s="25">
        <v>4143</v>
      </c>
      <c r="AD207" s="25">
        <v>4295</v>
      </c>
      <c r="AE207">
        <v>23193</v>
      </c>
      <c r="AF207" t="s">
        <v>199</v>
      </c>
      <c r="AG207" t="s">
        <v>199</v>
      </c>
      <c r="AH207" s="33">
        <v>0.36286194262315274</v>
      </c>
      <c r="AI207" s="12">
        <v>1.7699115044247787E-2</v>
      </c>
      <c r="AJ207">
        <v>0</v>
      </c>
      <c r="AK207">
        <v>0</v>
      </c>
    </row>
    <row r="208" spans="1:37" ht="15.75" x14ac:dyDescent="0.25">
      <c r="A208" s="4">
        <v>207</v>
      </c>
      <c r="B208" s="5" t="s">
        <v>237</v>
      </c>
      <c r="C208" s="5" t="s">
        <v>80</v>
      </c>
      <c r="D208" s="5" t="s">
        <v>83</v>
      </c>
      <c r="E208" s="7">
        <v>33035</v>
      </c>
      <c r="F208" s="4" t="s">
        <v>241</v>
      </c>
      <c r="G208" s="6">
        <v>708</v>
      </c>
      <c r="H208" s="6">
        <v>707</v>
      </c>
      <c r="I208" s="6">
        <v>707</v>
      </c>
      <c r="J208" s="6">
        <v>2122</v>
      </c>
      <c r="K208" s="6">
        <v>707</v>
      </c>
      <c r="L208" s="6">
        <v>707</v>
      </c>
      <c r="M208" s="6">
        <v>707</v>
      </c>
      <c r="N208" s="6">
        <v>2121</v>
      </c>
      <c r="O208" s="6">
        <v>707</v>
      </c>
      <c r="P208" s="6">
        <v>707</v>
      </c>
      <c r="Q208" s="6">
        <v>707</v>
      </c>
      <c r="R208" s="6">
        <v>2121</v>
      </c>
      <c r="S208" s="6">
        <v>707</v>
      </c>
      <c r="T208" s="6">
        <v>707</v>
      </c>
      <c r="U208" s="6">
        <v>707</v>
      </c>
      <c r="V208" s="6">
        <v>2121</v>
      </c>
      <c r="W208" s="6">
        <v>707</v>
      </c>
      <c r="X208" s="6">
        <v>707</v>
      </c>
      <c r="Y208" s="6">
        <v>707</v>
      </c>
      <c r="Z208" s="6">
        <v>2121</v>
      </c>
      <c r="AA208" s="4">
        <v>2122</v>
      </c>
      <c r="AB208" s="25">
        <v>3535</v>
      </c>
      <c r="AC208" s="25">
        <v>3737</v>
      </c>
      <c r="AD208" s="25">
        <v>3535</v>
      </c>
      <c r="AE208">
        <v>19091</v>
      </c>
      <c r="AF208" t="s">
        <v>198</v>
      </c>
      <c r="AG208" t="s">
        <v>198</v>
      </c>
      <c r="AH208" s="33">
        <v>0.52990082838167252</v>
      </c>
      <c r="AI208" s="12">
        <v>0.18205804749340371</v>
      </c>
      <c r="AJ208">
        <v>0</v>
      </c>
      <c r="AK208">
        <v>0</v>
      </c>
    </row>
    <row r="209" spans="1:37" ht="15.75" x14ac:dyDescent="0.25">
      <c r="A209" s="4">
        <v>208</v>
      </c>
      <c r="B209" s="5" t="s">
        <v>237</v>
      </c>
      <c r="C209" s="5" t="s">
        <v>80</v>
      </c>
      <c r="D209" s="5" t="s">
        <v>83</v>
      </c>
      <c r="E209" s="30">
        <v>14449</v>
      </c>
      <c r="F209" s="4" t="s">
        <v>241</v>
      </c>
      <c r="G209" s="6">
        <v>909</v>
      </c>
      <c r="H209" s="6">
        <v>909</v>
      </c>
      <c r="I209" s="6">
        <v>909</v>
      </c>
      <c r="J209" s="6">
        <v>2727</v>
      </c>
      <c r="K209" s="6">
        <v>909</v>
      </c>
      <c r="L209" s="6">
        <v>909</v>
      </c>
      <c r="M209" s="6">
        <v>909</v>
      </c>
      <c r="N209" s="6">
        <v>2727</v>
      </c>
      <c r="O209" s="6">
        <v>909</v>
      </c>
      <c r="P209" s="6">
        <v>909</v>
      </c>
      <c r="Q209" s="6">
        <v>909</v>
      </c>
      <c r="R209" s="6">
        <v>2727</v>
      </c>
      <c r="S209" s="6">
        <v>909</v>
      </c>
      <c r="T209" s="6">
        <v>909</v>
      </c>
      <c r="U209" s="6">
        <v>909</v>
      </c>
      <c r="V209" s="6">
        <v>2727</v>
      </c>
      <c r="W209" s="6">
        <v>909</v>
      </c>
      <c r="X209" s="6">
        <v>909</v>
      </c>
      <c r="Y209" s="6">
        <v>909</v>
      </c>
      <c r="Z209" s="6">
        <v>2727</v>
      </c>
      <c r="AA209" s="4">
        <v>2727</v>
      </c>
      <c r="AB209" s="25">
        <v>4545</v>
      </c>
      <c r="AC209" s="25">
        <v>3833</v>
      </c>
      <c r="AD209" s="25">
        <v>4545</v>
      </c>
      <c r="AE209">
        <v>24543</v>
      </c>
      <c r="AF209" t="s">
        <v>199</v>
      </c>
      <c r="AG209" t="s">
        <v>198</v>
      </c>
      <c r="AH209" s="33">
        <v>0.69027893878016389</v>
      </c>
      <c r="AI209" s="12">
        <v>3.8850799869409078E-2</v>
      </c>
      <c r="AJ209">
        <v>0</v>
      </c>
      <c r="AK209">
        <v>0</v>
      </c>
    </row>
    <row r="210" spans="1:37" ht="15.75" x14ac:dyDescent="0.25">
      <c r="A210" s="4">
        <v>209</v>
      </c>
      <c r="B210" s="5" t="s">
        <v>237</v>
      </c>
      <c r="C210" s="5" t="s">
        <v>80</v>
      </c>
      <c r="D210" s="5" t="s">
        <v>83</v>
      </c>
      <c r="E210" s="30">
        <v>10624</v>
      </c>
      <c r="F210" s="4" t="s">
        <v>241</v>
      </c>
      <c r="G210" s="6">
        <v>197</v>
      </c>
      <c r="H210" s="6">
        <v>197</v>
      </c>
      <c r="I210" s="6">
        <v>197</v>
      </c>
      <c r="J210" s="6">
        <v>591</v>
      </c>
      <c r="K210" s="6">
        <v>197</v>
      </c>
      <c r="L210" s="6">
        <v>197</v>
      </c>
      <c r="M210" s="6">
        <v>197</v>
      </c>
      <c r="N210" s="6">
        <v>591</v>
      </c>
      <c r="O210" s="6">
        <v>197</v>
      </c>
      <c r="P210" s="6">
        <v>197</v>
      </c>
      <c r="Q210" s="6">
        <v>197</v>
      </c>
      <c r="R210" s="6">
        <v>591</v>
      </c>
      <c r="S210" s="6">
        <v>197</v>
      </c>
      <c r="T210" s="6">
        <v>197</v>
      </c>
      <c r="U210" s="6">
        <v>197</v>
      </c>
      <c r="V210" s="6">
        <v>591</v>
      </c>
      <c r="W210" s="6">
        <v>197</v>
      </c>
      <c r="X210" s="6">
        <v>197</v>
      </c>
      <c r="Y210" s="6">
        <v>197</v>
      </c>
      <c r="Z210" s="6">
        <v>591</v>
      </c>
      <c r="AA210" s="4">
        <v>591</v>
      </c>
      <c r="AB210" s="25">
        <v>985</v>
      </c>
      <c r="AC210" s="25">
        <v>1102</v>
      </c>
      <c r="AD210" s="25">
        <v>985</v>
      </c>
      <c r="AE210">
        <v>5319</v>
      </c>
      <c r="AF210" t="s">
        <v>198</v>
      </c>
      <c r="AG210" t="s">
        <v>199</v>
      </c>
      <c r="AH210" s="33">
        <v>0.21645808421748303</v>
      </c>
      <c r="AI210" s="12">
        <v>6.8504913653277363E-2</v>
      </c>
      <c r="AJ210">
        <v>0</v>
      </c>
      <c r="AK210">
        <v>0</v>
      </c>
    </row>
    <row r="211" spans="1:37" ht="15.75" x14ac:dyDescent="0.25">
      <c r="A211" s="4">
        <v>210</v>
      </c>
      <c r="B211" s="5" t="s">
        <v>237</v>
      </c>
      <c r="C211" s="5" t="s">
        <v>80</v>
      </c>
      <c r="D211" s="5" t="s">
        <v>83</v>
      </c>
      <c r="E211" s="7">
        <v>30255</v>
      </c>
      <c r="F211" s="4" t="s">
        <v>241</v>
      </c>
      <c r="G211" s="6">
        <v>314</v>
      </c>
      <c r="H211" s="6">
        <v>314</v>
      </c>
      <c r="I211" s="6">
        <v>314</v>
      </c>
      <c r="J211" s="6">
        <v>942</v>
      </c>
      <c r="K211" s="6">
        <v>314</v>
      </c>
      <c r="L211" s="6">
        <v>314</v>
      </c>
      <c r="M211" s="6">
        <v>314</v>
      </c>
      <c r="N211" s="6">
        <v>942</v>
      </c>
      <c r="O211" s="6">
        <v>314</v>
      </c>
      <c r="P211" s="6">
        <v>314</v>
      </c>
      <c r="Q211" s="6">
        <v>314</v>
      </c>
      <c r="R211" s="6">
        <v>942</v>
      </c>
      <c r="S211" s="6">
        <v>314</v>
      </c>
      <c r="T211" s="6">
        <v>314</v>
      </c>
      <c r="U211" s="6">
        <v>314</v>
      </c>
      <c r="V211" s="6">
        <v>942</v>
      </c>
      <c r="W211" s="6">
        <v>314</v>
      </c>
      <c r="X211" s="6">
        <v>314</v>
      </c>
      <c r="Y211" s="6">
        <v>314</v>
      </c>
      <c r="Z211" s="6">
        <v>942</v>
      </c>
      <c r="AA211" s="4">
        <v>942</v>
      </c>
      <c r="AB211" s="25">
        <v>1570</v>
      </c>
      <c r="AC211" s="25">
        <v>1600</v>
      </c>
      <c r="AD211" s="25">
        <v>1570</v>
      </c>
      <c r="AE211">
        <v>8478</v>
      </c>
      <c r="AF211" t="s">
        <v>198</v>
      </c>
      <c r="AG211" t="s">
        <v>198</v>
      </c>
      <c r="AH211" s="33">
        <v>7.9848668607906514E-2</v>
      </c>
      <c r="AI211" s="12">
        <v>4.6969088719389804E-2</v>
      </c>
      <c r="AJ211">
        <v>0</v>
      </c>
      <c r="AK211">
        <v>0</v>
      </c>
    </row>
    <row r="212" spans="1:37" ht="15.75" x14ac:dyDescent="0.25">
      <c r="A212" s="4">
        <v>211</v>
      </c>
      <c r="B212" s="5" t="s">
        <v>237</v>
      </c>
      <c r="C212" s="5" t="s">
        <v>80</v>
      </c>
      <c r="D212" s="5" t="s">
        <v>83</v>
      </c>
      <c r="E212" s="7">
        <v>33996</v>
      </c>
      <c r="F212" s="4" t="s">
        <v>241</v>
      </c>
      <c r="G212" s="6">
        <v>344</v>
      </c>
      <c r="H212" s="6">
        <v>344</v>
      </c>
      <c r="I212" s="6">
        <v>344</v>
      </c>
      <c r="J212" s="6">
        <v>1032</v>
      </c>
      <c r="K212" s="6">
        <v>344</v>
      </c>
      <c r="L212" s="6">
        <v>344</v>
      </c>
      <c r="M212" s="6">
        <v>344</v>
      </c>
      <c r="N212" s="6">
        <v>1032</v>
      </c>
      <c r="O212" s="6">
        <v>344</v>
      </c>
      <c r="P212" s="6">
        <v>344</v>
      </c>
      <c r="Q212" s="6">
        <v>344</v>
      </c>
      <c r="R212" s="6">
        <v>1032</v>
      </c>
      <c r="S212" s="6">
        <v>344</v>
      </c>
      <c r="T212" s="6">
        <v>344</v>
      </c>
      <c r="U212" s="6">
        <v>344</v>
      </c>
      <c r="V212" s="6">
        <v>1032</v>
      </c>
      <c r="W212" s="6">
        <v>344</v>
      </c>
      <c r="X212" s="6">
        <v>344</v>
      </c>
      <c r="Y212" s="6">
        <v>344</v>
      </c>
      <c r="Z212" s="6">
        <v>1032</v>
      </c>
      <c r="AA212" s="4">
        <v>1032</v>
      </c>
      <c r="AB212" s="25">
        <v>1720</v>
      </c>
      <c r="AC212" s="25">
        <v>1824</v>
      </c>
      <c r="AD212" s="25">
        <v>1720</v>
      </c>
      <c r="AE212">
        <v>9288</v>
      </c>
      <c r="AF212" t="s">
        <v>199</v>
      </c>
      <c r="AG212" t="s">
        <v>199</v>
      </c>
      <c r="AH212" s="33">
        <v>0.21438482913156365</v>
      </c>
      <c r="AI212" s="12">
        <v>7.0848501820218429E-2</v>
      </c>
      <c r="AJ212">
        <v>0</v>
      </c>
      <c r="AK212">
        <v>0</v>
      </c>
    </row>
    <row r="213" spans="1:37" ht="15.75" x14ac:dyDescent="0.25">
      <c r="A213" s="4">
        <v>212</v>
      </c>
      <c r="B213" s="5" t="s">
        <v>237</v>
      </c>
      <c r="C213" s="5" t="s">
        <v>80</v>
      </c>
      <c r="D213" s="5" t="s">
        <v>83</v>
      </c>
      <c r="E213" s="7">
        <v>1275</v>
      </c>
      <c r="F213" s="4" t="s">
        <v>241</v>
      </c>
      <c r="G213" s="6">
        <v>448</v>
      </c>
      <c r="H213" s="6">
        <v>448</v>
      </c>
      <c r="I213" s="6">
        <v>448</v>
      </c>
      <c r="J213" s="6">
        <v>1344</v>
      </c>
      <c r="K213" s="6">
        <v>448</v>
      </c>
      <c r="L213" s="6">
        <v>448</v>
      </c>
      <c r="M213" s="6">
        <v>448</v>
      </c>
      <c r="N213" s="6">
        <v>1344</v>
      </c>
      <c r="O213" s="6">
        <v>448</v>
      </c>
      <c r="P213" s="6">
        <v>448</v>
      </c>
      <c r="Q213" s="6">
        <v>448</v>
      </c>
      <c r="R213" s="6">
        <v>1344</v>
      </c>
      <c r="S213" s="6">
        <v>448</v>
      </c>
      <c r="T213" s="6">
        <v>448</v>
      </c>
      <c r="U213" s="6">
        <v>448</v>
      </c>
      <c r="V213" s="6">
        <v>1344</v>
      </c>
      <c r="W213" s="6">
        <v>448</v>
      </c>
      <c r="X213" s="6">
        <v>448</v>
      </c>
      <c r="Y213" s="6">
        <v>448</v>
      </c>
      <c r="Z213" s="6">
        <v>1344</v>
      </c>
      <c r="AA213" s="4">
        <v>1344</v>
      </c>
      <c r="AB213" s="25">
        <v>2240</v>
      </c>
      <c r="AC213" s="25">
        <v>2075</v>
      </c>
      <c r="AD213" s="25">
        <v>2240</v>
      </c>
      <c r="AE213">
        <v>12096</v>
      </c>
      <c r="AF213" t="s">
        <v>199</v>
      </c>
      <c r="AG213" t="s">
        <v>198</v>
      </c>
      <c r="AH213" s="33">
        <v>0.44370365850451288</v>
      </c>
      <c r="AI213" s="12">
        <v>5.7814190755912813E-2</v>
      </c>
      <c r="AJ213">
        <v>0</v>
      </c>
      <c r="AK213">
        <v>0</v>
      </c>
    </row>
    <row r="214" spans="1:37" ht="15.75" x14ac:dyDescent="0.25">
      <c r="A214" s="4">
        <v>213</v>
      </c>
      <c r="B214" s="5" t="s">
        <v>237</v>
      </c>
      <c r="C214" s="5" t="s">
        <v>80</v>
      </c>
      <c r="D214" s="5" t="s">
        <v>84</v>
      </c>
      <c r="E214" s="7">
        <v>24271</v>
      </c>
      <c r="F214" s="4" t="s">
        <v>241</v>
      </c>
      <c r="G214" s="6">
        <v>283</v>
      </c>
      <c r="H214" s="6">
        <v>283</v>
      </c>
      <c r="I214" s="6">
        <v>283</v>
      </c>
      <c r="J214" s="6">
        <v>849</v>
      </c>
      <c r="K214" s="6">
        <v>283</v>
      </c>
      <c r="L214" s="6">
        <v>283</v>
      </c>
      <c r="M214" s="6">
        <v>283</v>
      </c>
      <c r="N214" s="6">
        <v>849</v>
      </c>
      <c r="O214" s="6">
        <v>283</v>
      </c>
      <c r="P214" s="6">
        <v>283</v>
      </c>
      <c r="Q214" s="6">
        <v>283</v>
      </c>
      <c r="R214" s="6">
        <v>849</v>
      </c>
      <c r="S214" s="6">
        <v>283</v>
      </c>
      <c r="T214" s="6">
        <v>283</v>
      </c>
      <c r="U214" s="6">
        <v>283</v>
      </c>
      <c r="V214" s="6">
        <v>849</v>
      </c>
      <c r="W214" s="6">
        <v>281</v>
      </c>
      <c r="X214" s="6">
        <v>283</v>
      </c>
      <c r="Y214" s="6">
        <v>283</v>
      </c>
      <c r="Z214" s="6">
        <v>847</v>
      </c>
      <c r="AA214" s="4">
        <v>849</v>
      </c>
      <c r="AB214" s="25">
        <v>1413</v>
      </c>
      <c r="AC214" s="25">
        <v>1385</v>
      </c>
      <c r="AD214" s="25">
        <v>1415</v>
      </c>
      <c r="AE214">
        <v>7639</v>
      </c>
      <c r="AF214" t="s">
        <v>199</v>
      </c>
      <c r="AG214" t="s">
        <v>198</v>
      </c>
      <c r="AH214" s="33">
        <v>0.67524047731832615</v>
      </c>
      <c r="AI214" s="12">
        <v>3.1185031185031187E-2</v>
      </c>
      <c r="AJ214">
        <v>0</v>
      </c>
      <c r="AK214">
        <v>0</v>
      </c>
    </row>
    <row r="215" spans="1:37" ht="15.75" x14ac:dyDescent="0.25">
      <c r="A215" s="4">
        <v>214</v>
      </c>
      <c r="B215" s="5" t="s">
        <v>237</v>
      </c>
      <c r="C215" s="5" t="s">
        <v>80</v>
      </c>
      <c r="D215" s="5" t="s">
        <v>84</v>
      </c>
      <c r="E215" s="7">
        <v>38693</v>
      </c>
      <c r="F215" s="4" t="s">
        <v>241</v>
      </c>
      <c r="G215" s="6">
        <v>253</v>
      </c>
      <c r="H215" s="6">
        <v>253</v>
      </c>
      <c r="I215" s="6">
        <v>253</v>
      </c>
      <c r="J215" s="6">
        <v>759</v>
      </c>
      <c r="K215" s="6">
        <v>253</v>
      </c>
      <c r="L215" s="6">
        <v>253</v>
      </c>
      <c r="M215" s="6">
        <v>253</v>
      </c>
      <c r="N215" s="6">
        <v>759</v>
      </c>
      <c r="O215" s="6">
        <v>253</v>
      </c>
      <c r="P215" s="6">
        <v>253</v>
      </c>
      <c r="Q215" s="6">
        <v>253</v>
      </c>
      <c r="R215" s="6">
        <v>759</v>
      </c>
      <c r="S215" s="6">
        <v>253</v>
      </c>
      <c r="T215" s="6">
        <v>253</v>
      </c>
      <c r="U215" s="6">
        <v>253</v>
      </c>
      <c r="V215" s="6">
        <v>759</v>
      </c>
      <c r="W215" s="6">
        <v>253</v>
      </c>
      <c r="X215" s="6">
        <v>253</v>
      </c>
      <c r="Y215" s="6">
        <v>253</v>
      </c>
      <c r="Z215" s="6">
        <v>759</v>
      </c>
      <c r="AA215" s="4">
        <v>759</v>
      </c>
      <c r="AB215" s="25">
        <v>1265</v>
      </c>
      <c r="AC215" s="25">
        <v>1204</v>
      </c>
      <c r="AD215" s="25">
        <v>1265</v>
      </c>
      <c r="AE215">
        <v>6831</v>
      </c>
      <c r="AF215" t="s">
        <v>199</v>
      </c>
      <c r="AG215" t="s">
        <v>199</v>
      </c>
      <c r="AH215" s="33">
        <v>0.61713953671768207</v>
      </c>
      <c r="AI215" s="12">
        <v>2.462121212121212E-2</v>
      </c>
      <c r="AJ215">
        <v>0</v>
      </c>
      <c r="AK215">
        <v>0</v>
      </c>
    </row>
    <row r="216" spans="1:37" ht="15.75" x14ac:dyDescent="0.25">
      <c r="A216" s="4">
        <v>215</v>
      </c>
      <c r="B216" s="5" t="s">
        <v>237</v>
      </c>
      <c r="C216" s="5" t="s">
        <v>80</v>
      </c>
      <c r="D216" s="5" t="s">
        <v>84</v>
      </c>
      <c r="E216" s="7">
        <v>38692</v>
      </c>
      <c r="F216" s="4" t="s">
        <v>241</v>
      </c>
      <c r="G216" s="6">
        <v>192</v>
      </c>
      <c r="H216" s="6">
        <v>192</v>
      </c>
      <c r="I216" s="6">
        <v>192</v>
      </c>
      <c r="J216" s="6">
        <v>576</v>
      </c>
      <c r="K216" s="6">
        <v>192</v>
      </c>
      <c r="L216" s="6">
        <v>192</v>
      </c>
      <c r="M216" s="6">
        <v>192</v>
      </c>
      <c r="N216" s="6">
        <v>576</v>
      </c>
      <c r="O216" s="6">
        <v>192</v>
      </c>
      <c r="P216" s="6">
        <v>192</v>
      </c>
      <c r="Q216" s="6">
        <v>192</v>
      </c>
      <c r="R216" s="6">
        <v>576</v>
      </c>
      <c r="S216" s="6">
        <v>192</v>
      </c>
      <c r="T216" s="6">
        <v>192</v>
      </c>
      <c r="U216" s="6">
        <v>192</v>
      </c>
      <c r="V216" s="6">
        <v>576</v>
      </c>
      <c r="W216" s="6">
        <v>192</v>
      </c>
      <c r="X216" s="6">
        <v>192</v>
      </c>
      <c r="Y216" s="6">
        <v>192</v>
      </c>
      <c r="Z216" s="6">
        <v>576</v>
      </c>
      <c r="AA216" s="4">
        <v>576</v>
      </c>
      <c r="AB216" s="25">
        <v>960</v>
      </c>
      <c r="AC216" s="25">
        <v>950</v>
      </c>
      <c r="AD216" s="25">
        <v>960</v>
      </c>
      <c r="AE216">
        <v>5184</v>
      </c>
      <c r="AF216" t="s">
        <v>199</v>
      </c>
      <c r="AG216" t="s">
        <v>198</v>
      </c>
      <c r="AH216" s="33">
        <v>0.31549605351298127</v>
      </c>
      <c r="AI216" s="12">
        <v>0.27612412919569346</v>
      </c>
      <c r="AJ216">
        <v>0</v>
      </c>
      <c r="AK216">
        <v>0</v>
      </c>
    </row>
    <row r="217" spans="1:37" ht="15.75" x14ac:dyDescent="0.25">
      <c r="A217" s="4">
        <v>216</v>
      </c>
      <c r="B217" s="5" t="s">
        <v>237</v>
      </c>
      <c r="C217" s="5" t="s">
        <v>80</v>
      </c>
      <c r="D217" s="5" t="s">
        <v>84</v>
      </c>
      <c r="E217" s="7">
        <v>7850</v>
      </c>
      <c r="F217" s="4" t="s">
        <v>241</v>
      </c>
      <c r="G217" s="6">
        <v>182</v>
      </c>
      <c r="H217" s="6">
        <v>182</v>
      </c>
      <c r="I217" s="6">
        <v>182</v>
      </c>
      <c r="J217" s="6">
        <v>546</v>
      </c>
      <c r="K217" s="6">
        <v>182</v>
      </c>
      <c r="L217" s="6">
        <v>182</v>
      </c>
      <c r="M217" s="6">
        <v>182</v>
      </c>
      <c r="N217" s="6">
        <v>546</v>
      </c>
      <c r="O217" s="6">
        <v>182</v>
      </c>
      <c r="P217" s="6">
        <v>182</v>
      </c>
      <c r="Q217" s="6">
        <v>182</v>
      </c>
      <c r="R217" s="6">
        <v>546</v>
      </c>
      <c r="S217" s="6">
        <v>182</v>
      </c>
      <c r="T217" s="6">
        <v>182</v>
      </c>
      <c r="U217" s="6">
        <v>182</v>
      </c>
      <c r="V217" s="6">
        <v>546</v>
      </c>
      <c r="W217" s="6">
        <v>182</v>
      </c>
      <c r="X217" s="6">
        <v>182</v>
      </c>
      <c r="Y217" s="6">
        <v>182</v>
      </c>
      <c r="Z217" s="6">
        <v>546</v>
      </c>
      <c r="AA217" s="4">
        <v>546</v>
      </c>
      <c r="AB217" s="25">
        <v>910</v>
      </c>
      <c r="AC217" s="25">
        <v>890</v>
      </c>
      <c r="AD217" s="25">
        <v>910</v>
      </c>
      <c r="AE217">
        <v>4914</v>
      </c>
      <c r="AF217" t="s">
        <v>198</v>
      </c>
      <c r="AG217" t="s">
        <v>198</v>
      </c>
      <c r="AH217" s="33">
        <v>0.92013494216349889</v>
      </c>
      <c r="AI217" s="12" t="e">
        <v>#N/A</v>
      </c>
      <c r="AJ217">
        <v>0</v>
      </c>
      <c r="AK217">
        <v>0</v>
      </c>
    </row>
    <row r="218" spans="1:37" ht="15.75" x14ac:dyDescent="0.25">
      <c r="A218" s="4">
        <v>217</v>
      </c>
      <c r="B218" s="5" t="s">
        <v>237</v>
      </c>
      <c r="C218" s="5" t="s">
        <v>80</v>
      </c>
      <c r="D218" s="5" t="s">
        <v>84</v>
      </c>
      <c r="E218" s="7">
        <v>14452</v>
      </c>
      <c r="F218" s="4" t="s">
        <v>241</v>
      </c>
      <c r="G218" s="6">
        <v>162</v>
      </c>
      <c r="H218" s="6">
        <v>162</v>
      </c>
      <c r="I218" s="6">
        <v>162</v>
      </c>
      <c r="J218" s="6">
        <v>486</v>
      </c>
      <c r="K218" s="6">
        <v>162</v>
      </c>
      <c r="L218" s="6">
        <v>162</v>
      </c>
      <c r="M218" s="6">
        <v>162</v>
      </c>
      <c r="N218" s="6">
        <v>486</v>
      </c>
      <c r="O218" s="6">
        <v>162</v>
      </c>
      <c r="P218" s="6">
        <v>162</v>
      </c>
      <c r="Q218" s="6">
        <v>162</v>
      </c>
      <c r="R218" s="6">
        <v>486</v>
      </c>
      <c r="S218" s="6">
        <v>162</v>
      </c>
      <c r="T218" s="6">
        <v>162</v>
      </c>
      <c r="U218" s="6">
        <v>162</v>
      </c>
      <c r="V218" s="6">
        <v>486</v>
      </c>
      <c r="W218" s="6">
        <v>162</v>
      </c>
      <c r="X218" s="6">
        <v>162</v>
      </c>
      <c r="Y218" s="6">
        <v>162</v>
      </c>
      <c r="Z218" s="6">
        <v>486</v>
      </c>
      <c r="AA218" s="4">
        <v>486</v>
      </c>
      <c r="AB218" s="25">
        <v>810</v>
      </c>
      <c r="AC218" s="25">
        <v>1342</v>
      </c>
      <c r="AD218" s="25">
        <v>810</v>
      </c>
      <c r="AE218">
        <v>4374</v>
      </c>
      <c r="AF218" t="s">
        <v>199</v>
      </c>
      <c r="AG218" t="s">
        <v>198</v>
      </c>
      <c r="AH218" s="33">
        <v>1.2853764237607979E-2</v>
      </c>
      <c r="AI218" s="12">
        <v>5.3906723198061779E-2</v>
      </c>
      <c r="AJ218">
        <v>0</v>
      </c>
      <c r="AK218">
        <v>0</v>
      </c>
    </row>
    <row r="219" spans="1:37" ht="15.75" x14ac:dyDescent="0.25">
      <c r="A219" s="4">
        <v>218</v>
      </c>
      <c r="B219" s="5" t="s">
        <v>237</v>
      </c>
      <c r="C219" s="5" t="s">
        <v>80</v>
      </c>
      <c r="D219" s="5" t="s">
        <v>84</v>
      </c>
      <c r="E219" s="7">
        <v>8449</v>
      </c>
      <c r="F219" s="4" t="s">
        <v>240</v>
      </c>
      <c r="G219" s="6">
        <v>694</v>
      </c>
      <c r="H219" s="6">
        <v>694</v>
      </c>
      <c r="I219" s="6">
        <v>694</v>
      </c>
      <c r="J219" s="6">
        <v>2082</v>
      </c>
      <c r="K219" s="6">
        <v>694</v>
      </c>
      <c r="L219" s="6">
        <v>694</v>
      </c>
      <c r="M219" s="6">
        <v>694</v>
      </c>
      <c r="N219" s="6">
        <v>2082</v>
      </c>
      <c r="O219" s="6">
        <v>694</v>
      </c>
      <c r="P219" s="6">
        <v>694</v>
      </c>
      <c r="Q219" s="6">
        <v>694</v>
      </c>
      <c r="R219" s="6">
        <v>2082</v>
      </c>
      <c r="S219" s="6">
        <v>694</v>
      </c>
      <c r="T219" s="6">
        <v>694</v>
      </c>
      <c r="U219" s="6">
        <v>694</v>
      </c>
      <c r="V219" s="6">
        <v>2082</v>
      </c>
      <c r="W219" s="6">
        <v>694</v>
      </c>
      <c r="X219" s="6">
        <v>694</v>
      </c>
      <c r="Y219" s="6">
        <v>694</v>
      </c>
      <c r="Z219" s="6">
        <v>2082</v>
      </c>
      <c r="AA219" s="4">
        <v>2082</v>
      </c>
      <c r="AB219" s="25">
        <v>3470</v>
      </c>
      <c r="AC219" s="25">
        <v>3130</v>
      </c>
      <c r="AD219" s="25">
        <v>3470</v>
      </c>
      <c r="AE219">
        <v>18738</v>
      </c>
      <c r="AF219" t="s">
        <v>198</v>
      </c>
      <c r="AG219" t="s">
        <v>198</v>
      </c>
      <c r="AH219" s="33">
        <v>0.55776736547040096</v>
      </c>
      <c r="AI219" s="12">
        <v>1.8496010146382708E-2</v>
      </c>
      <c r="AJ219">
        <v>0</v>
      </c>
      <c r="AK219">
        <v>0</v>
      </c>
    </row>
    <row r="220" spans="1:37" ht="15.75" x14ac:dyDescent="0.25">
      <c r="A220" s="4">
        <v>219</v>
      </c>
      <c r="B220" s="5" t="s">
        <v>237</v>
      </c>
      <c r="C220" s="5" t="s">
        <v>80</v>
      </c>
      <c r="D220" s="5" t="s">
        <v>85</v>
      </c>
      <c r="E220" s="7">
        <v>8683</v>
      </c>
      <c r="F220" s="4" t="s">
        <v>241</v>
      </c>
      <c r="G220" s="6">
        <v>354</v>
      </c>
      <c r="H220" s="6">
        <v>354</v>
      </c>
      <c r="I220" s="6">
        <v>354</v>
      </c>
      <c r="J220" s="6">
        <v>1062</v>
      </c>
      <c r="K220" s="6">
        <v>354</v>
      </c>
      <c r="L220" s="6">
        <v>354</v>
      </c>
      <c r="M220" s="6">
        <v>354</v>
      </c>
      <c r="N220" s="6">
        <v>1062</v>
      </c>
      <c r="O220" s="6">
        <v>354</v>
      </c>
      <c r="P220" s="6">
        <v>354</v>
      </c>
      <c r="Q220" s="6">
        <v>354</v>
      </c>
      <c r="R220" s="6">
        <v>1062</v>
      </c>
      <c r="S220" s="6">
        <v>354</v>
      </c>
      <c r="T220" s="6">
        <v>354</v>
      </c>
      <c r="U220" s="6">
        <v>354</v>
      </c>
      <c r="V220" s="6">
        <v>1062</v>
      </c>
      <c r="W220" s="6">
        <v>354</v>
      </c>
      <c r="X220" s="6">
        <v>354</v>
      </c>
      <c r="Y220" s="6">
        <v>354</v>
      </c>
      <c r="Z220" s="6">
        <v>1062</v>
      </c>
      <c r="AA220" s="4">
        <v>1062</v>
      </c>
      <c r="AB220" s="25">
        <v>1770</v>
      </c>
      <c r="AC220" s="25">
        <v>1831</v>
      </c>
      <c r="AD220" s="25">
        <v>1770</v>
      </c>
      <c r="AE220">
        <v>9558</v>
      </c>
      <c r="AF220" t="s">
        <v>198</v>
      </c>
      <c r="AG220" t="s">
        <v>198</v>
      </c>
      <c r="AH220" s="33">
        <v>0.86186646521776988</v>
      </c>
      <c r="AI220" s="12" t="e">
        <v>#N/A</v>
      </c>
      <c r="AJ220">
        <v>0</v>
      </c>
      <c r="AK220">
        <v>0</v>
      </c>
    </row>
    <row r="221" spans="1:37" ht="15.75" x14ac:dyDescent="0.25">
      <c r="A221" s="4">
        <v>220</v>
      </c>
      <c r="B221" s="5" t="s">
        <v>237</v>
      </c>
      <c r="C221" s="5" t="s">
        <v>80</v>
      </c>
      <c r="D221" s="5" t="s">
        <v>85</v>
      </c>
      <c r="E221" s="31">
        <v>15789</v>
      </c>
      <c r="F221" s="4" t="s">
        <v>241</v>
      </c>
      <c r="G221" s="6">
        <v>415</v>
      </c>
      <c r="H221" s="6">
        <v>415</v>
      </c>
      <c r="I221" s="6">
        <v>415</v>
      </c>
      <c r="J221" s="6">
        <v>1245</v>
      </c>
      <c r="K221" s="6">
        <v>415</v>
      </c>
      <c r="L221" s="6">
        <v>415</v>
      </c>
      <c r="M221" s="6">
        <v>415</v>
      </c>
      <c r="N221" s="6">
        <v>1245</v>
      </c>
      <c r="O221" s="6">
        <v>415</v>
      </c>
      <c r="P221" s="6">
        <v>415</v>
      </c>
      <c r="Q221" s="6">
        <v>415</v>
      </c>
      <c r="R221" s="6">
        <v>1245</v>
      </c>
      <c r="S221" s="6">
        <v>415</v>
      </c>
      <c r="T221" s="6">
        <v>415</v>
      </c>
      <c r="U221" s="6">
        <v>415</v>
      </c>
      <c r="V221" s="6">
        <v>1245</v>
      </c>
      <c r="W221" s="6">
        <v>415</v>
      </c>
      <c r="X221" s="6">
        <v>415</v>
      </c>
      <c r="Y221" s="6">
        <v>415</v>
      </c>
      <c r="Z221" s="6">
        <v>1245</v>
      </c>
      <c r="AA221" s="4">
        <v>1245</v>
      </c>
      <c r="AB221" s="25">
        <v>2075</v>
      </c>
      <c r="AC221" s="25">
        <v>2075</v>
      </c>
      <c r="AD221" s="25">
        <v>2075</v>
      </c>
      <c r="AE221">
        <v>11205</v>
      </c>
      <c r="AF221" t="s">
        <v>199</v>
      </c>
      <c r="AG221" t="s">
        <v>198</v>
      </c>
      <c r="AH221" s="33">
        <v>0.89590288049576905</v>
      </c>
      <c r="AI221" s="12">
        <v>4.2505413425294729E-2</v>
      </c>
      <c r="AJ221">
        <v>0</v>
      </c>
      <c r="AK221">
        <v>0</v>
      </c>
    </row>
    <row r="222" spans="1:37" ht="15.75" x14ac:dyDescent="0.25">
      <c r="A222" s="4">
        <v>221</v>
      </c>
      <c r="B222" s="5" t="s">
        <v>237</v>
      </c>
      <c r="C222" s="5" t="s">
        <v>80</v>
      </c>
      <c r="D222" s="5" t="s">
        <v>85</v>
      </c>
      <c r="E222" s="31">
        <v>33986</v>
      </c>
      <c r="F222" s="4" t="s">
        <v>241</v>
      </c>
      <c r="G222" s="6">
        <v>415</v>
      </c>
      <c r="H222" s="6">
        <v>415</v>
      </c>
      <c r="I222" s="6">
        <v>415</v>
      </c>
      <c r="J222" s="6">
        <v>1245</v>
      </c>
      <c r="K222" s="6">
        <v>415</v>
      </c>
      <c r="L222" s="6">
        <v>415</v>
      </c>
      <c r="M222" s="6">
        <v>415</v>
      </c>
      <c r="N222" s="6">
        <v>1245</v>
      </c>
      <c r="O222" s="6">
        <v>415</v>
      </c>
      <c r="P222" s="6">
        <v>415</v>
      </c>
      <c r="Q222" s="6">
        <v>415</v>
      </c>
      <c r="R222" s="6">
        <v>1245</v>
      </c>
      <c r="S222" s="6">
        <v>415</v>
      </c>
      <c r="T222" s="6">
        <v>415</v>
      </c>
      <c r="U222" s="6">
        <v>415</v>
      </c>
      <c r="V222" s="6">
        <v>1245</v>
      </c>
      <c r="W222" s="6">
        <v>415</v>
      </c>
      <c r="X222" s="6">
        <v>415</v>
      </c>
      <c r="Y222" s="6">
        <v>415</v>
      </c>
      <c r="Z222" s="6">
        <v>1245</v>
      </c>
      <c r="AA222" s="4">
        <v>1245</v>
      </c>
      <c r="AB222" s="25">
        <v>2075</v>
      </c>
      <c r="AC222" s="25">
        <v>2357</v>
      </c>
      <c r="AD222" s="25">
        <v>2075</v>
      </c>
      <c r="AE222">
        <v>11205</v>
      </c>
      <c r="AF222" t="s">
        <v>199</v>
      </c>
      <c r="AG222" t="s">
        <v>199</v>
      </c>
      <c r="AH222" s="33">
        <v>0.33710831114611739</v>
      </c>
      <c r="AI222" s="12">
        <v>1.9989479221462388E-2</v>
      </c>
      <c r="AJ222">
        <v>0</v>
      </c>
      <c r="AK222">
        <v>0</v>
      </c>
    </row>
    <row r="223" spans="1:37" ht="15.75" x14ac:dyDescent="0.25">
      <c r="A223" s="4">
        <v>222</v>
      </c>
      <c r="B223" s="5" t="s">
        <v>237</v>
      </c>
      <c r="C223" s="5" t="s">
        <v>80</v>
      </c>
      <c r="D223" s="5" t="s">
        <v>85</v>
      </c>
      <c r="E223" s="31">
        <v>8556</v>
      </c>
      <c r="F223" s="4" t="s">
        <v>241</v>
      </c>
      <c r="G223" s="6">
        <v>697</v>
      </c>
      <c r="H223" s="6">
        <v>697</v>
      </c>
      <c r="I223" s="6">
        <v>697</v>
      </c>
      <c r="J223" s="6">
        <v>2091</v>
      </c>
      <c r="K223" s="6">
        <v>697</v>
      </c>
      <c r="L223" s="6">
        <v>697</v>
      </c>
      <c r="M223" s="6">
        <v>697</v>
      </c>
      <c r="N223" s="6">
        <v>2091</v>
      </c>
      <c r="O223" s="6">
        <v>697</v>
      </c>
      <c r="P223" s="6">
        <v>697</v>
      </c>
      <c r="Q223" s="6">
        <v>697</v>
      </c>
      <c r="R223" s="6">
        <v>2091</v>
      </c>
      <c r="S223" s="6">
        <v>697</v>
      </c>
      <c r="T223" s="6">
        <v>697</v>
      </c>
      <c r="U223" s="6">
        <v>697</v>
      </c>
      <c r="V223" s="6">
        <v>2091</v>
      </c>
      <c r="W223" s="6">
        <v>697</v>
      </c>
      <c r="X223" s="6">
        <v>697</v>
      </c>
      <c r="Y223" s="6">
        <v>697</v>
      </c>
      <c r="Z223" s="6">
        <v>2091</v>
      </c>
      <c r="AA223" s="4">
        <v>2091</v>
      </c>
      <c r="AB223" s="25">
        <v>3485</v>
      </c>
      <c r="AC223" s="25">
        <v>2971</v>
      </c>
      <c r="AD223" s="25">
        <v>3485</v>
      </c>
      <c r="AE223">
        <v>18819</v>
      </c>
      <c r="AF223" t="s">
        <v>199</v>
      </c>
      <c r="AG223" t="s">
        <v>199</v>
      </c>
      <c r="AH223" s="33">
        <v>0.75056912278738641</v>
      </c>
      <c r="AI223" s="12" t="e">
        <v>#N/A</v>
      </c>
      <c r="AJ223">
        <v>0</v>
      </c>
      <c r="AK223">
        <v>0</v>
      </c>
    </row>
    <row r="224" spans="1:37" ht="15.75" x14ac:dyDescent="0.25">
      <c r="A224" s="4">
        <v>223</v>
      </c>
      <c r="B224" s="5" t="s">
        <v>237</v>
      </c>
      <c r="C224" s="5" t="s">
        <v>80</v>
      </c>
      <c r="D224" s="5" t="s">
        <v>86</v>
      </c>
      <c r="E224" s="31">
        <v>3104</v>
      </c>
      <c r="F224" s="4" t="s">
        <v>241</v>
      </c>
      <c r="G224" s="6">
        <v>183</v>
      </c>
      <c r="H224" s="6">
        <v>183</v>
      </c>
      <c r="I224" s="6">
        <v>183</v>
      </c>
      <c r="J224" s="6">
        <v>549</v>
      </c>
      <c r="K224" s="6">
        <v>183</v>
      </c>
      <c r="L224" s="6">
        <v>183</v>
      </c>
      <c r="M224" s="6">
        <v>183</v>
      </c>
      <c r="N224" s="6">
        <v>549</v>
      </c>
      <c r="O224" s="6">
        <v>183</v>
      </c>
      <c r="P224" s="6">
        <v>183</v>
      </c>
      <c r="Q224" s="6">
        <v>183</v>
      </c>
      <c r="R224" s="6">
        <v>549</v>
      </c>
      <c r="S224" s="6">
        <v>183</v>
      </c>
      <c r="T224" s="6">
        <v>183</v>
      </c>
      <c r="U224" s="6">
        <v>183</v>
      </c>
      <c r="V224" s="6">
        <v>549</v>
      </c>
      <c r="W224" s="6">
        <v>183</v>
      </c>
      <c r="X224" s="6">
        <v>183</v>
      </c>
      <c r="Y224" s="6">
        <v>183</v>
      </c>
      <c r="Z224" s="6">
        <v>549</v>
      </c>
      <c r="AA224" s="4">
        <v>549</v>
      </c>
      <c r="AB224" s="25">
        <v>915</v>
      </c>
      <c r="AC224" s="25">
        <v>955</v>
      </c>
      <c r="AD224" s="25">
        <v>915</v>
      </c>
      <c r="AE224">
        <v>4941</v>
      </c>
      <c r="AF224" t="s">
        <v>199</v>
      </c>
      <c r="AG224" t="s">
        <v>199</v>
      </c>
      <c r="AH224" s="33">
        <v>0.13991568082372297</v>
      </c>
      <c r="AI224" s="12" t="e">
        <v>#N/A</v>
      </c>
      <c r="AJ224">
        <v>0</v>
      </c>
      <c r="AK224">
        <v>0</v>
      </c>
    </row>
    <row r="225" spans="1:37" ht="15.75" x14ac:dyDescent="0.25">
      <c r="A225" s="4">
        <v>224</v>
      </c>
      <c r="B225" s="5" t="s">
        <v>237</v>
      </c>
      <c r="C225" s="5" t="s">
        <v>80</v>
      </c>
      <c r="D225" s="5" t="s">
        <v>86</v>
      </c>
      <c r="E225" s="31">
        <v>1788</v>
      </c>
      <c r="F225" s="4" t="s">
        <v>241</v>
      </c>
      <c r="G225" s="6">
        <v>223</v>
      </c>
      <c r="H225" s="6">
        <v>223</v>
      </c>
      <c r="I225" s="6">
        <v>223</v>
      </c>
      <c r="J225" s="6">
        <v>669</v>
      </c>
      <c r="K225" s="6">
        <v>223</v>
      </c>
      <c r="L225" s="6">
        <v>223</v>
      </c>
      <c r="M225" s="6">
        <v>223</v>
      </c>
      <c r="N225" s="6">
        <v>669</v>
      </c>
      <c r="O225" s="6">
        <v>223</v>
      </c>
      <c r="P225" s="6">
        <v>223</v>
      </c>
      <c r="Q225" s="6">
        <v>223</v>
      </c>
      <c r="R225" s="6">
        <v>669</v>
      </c>
      <c r="S225" s="6">
        <v>223</v>
      </c>
      <c r="T225" s="6">
        <v>223</v>
      </c>
      <c r="U225" s="6">
        <v>223</v>
      </c>
      <c r="V225" s="6">
        <v>669</v>
      </c>
      <c r="W225" s="6">
        <v>223</v>
      </c>
      <c r="X225" s="6">
        <v>223</v>
      </c>
      <c r="Y225" s="6">
        <v>223</v>
      </c>
      <c r="Z225" s="6">
        <v>669</v>
      </c>
      <c r="AA225" s="4">
        <v>669</v>
      </c>
      <c r="AB225" s="25">
        <v>1115</v>
      </c>
      <c r="AC225" s="25">
        <v>1236</v>
      </c>
      <c r="AD225" s="25">
        <v>1115</v>
      </c>
      <c r="AE225">
        <v>6021</v>
      </c>
      <c r="AF225" t="s">
        <v>198</v>
      </c>
      <c r="AG225" t="s">
        <v>199</v>
      </c>
      <c r="AH225" s="33">
        <v>0.84054218404155967</v>
      </c>
      <c r="AI225" s="12">
        <v>2.2464698331193838E-2</v>
      </c>
      <c r="AJ225">
        <v>0</v>
      </c>
      <c r="AK225">
        <v>0</v>
      </c>
    </row>
    <row r="226" spans="1:37" ht="15.75" x14ac:dyDescent="0.25">
      <c r="A226" s="4">
        <v>225</v>
      </c>
      <c r="B226" s="5" t="s">
        <v>237</v>
      </c>
      <c r="C226" s="5" t="s">
        <v>80</v>
      </c>
      <c r="D226" s="5" t="s">
        <v>86</v>
      </c>
      <c r="E226" s="31">
        <v>33439</v>
      </c>
      <c r="F226" s="4" t="s">
        <v>241</v>
      </c>
      <c r="G226" s="6">
        <v>344</v>
      </c>
      <c r="H226" s="6">
        <v>344</v>
      </c>
      <c r="I226" s="6">
        <v>344</v>
      </c>
      <c r="J226" s="6">
        <v>1032</v>
      </c>
      <c r="K226" s="6">
        <v>344</v>
      </c>
      <c r="L226" s="6">
        <v>344</v>
      </c>
      <c r="M226" s="6">
        <v>344</v>
      </c>
      <c r="N226" s="6">
        <v>1032</v>
      </c>
      <c r="O226" s="6">
        <v>344</v>
      </c>
      <c r="P226" s="6">
        <v>344</v>
      </c>
      <c r="Q226" s="6">
        <v>344</v>
      </c>
      <c r="R226" s="6">
        <v>1032</v>
      </c>
      <c r="S226" s="6">
        <v>344</v>
      </c>
      <c r="T226" s="6">
        <v>344</v>
      </c>
      <c r="U226" s="6">
        <v>344</v>
      </c>
      <c r="V226" s="6">
        <v>1032</v>
      </c>
      <c r="W226" s="6">
        <v>344</v>
      </c>
      <c r="X226" s="6">
        <v>344</v>
      </c>
      <c r="Y226" s="6">
        <v>344</v>
      </c>
      <c r="Z226" s="6">
        <v>1032</v>
      </c>
      <c r="AA226" s="4">
        <v>1032</v>
      </c>
      <c r="AB226" s="25">
        <v>1720</v>
      </c>
      <c r="AC226" s="25">
        <v>1629</v>
      </c>
      <c r="AD226" s="25">
        <v>1720</v>
      </c>
      <c r="AE226">
        <v>9288</v>
      </c>
      <c r="AF226" t="s">
        <v>199</v>
      </c>
      <c r="AG226" t="s">
        <v>199</v>
      </c>
      <c r="AH226" s="33">
        <v>0.44609950801151887</v>
      </c>
      <c r="AI226" s="12">
        <v>2.0483193277310924E-2</v>
      </c>
      <c r="AJ226">
        <v>0</v>
      </c>
      <c r="AK226">
        <v>0</v>
      </c>
    </row>
    <row r="227" spans="1:37" ht="15.75" x14ac:dyDescent="0.25">
      <c r="A227" s="4">
        <v>226</v>
      </c>
      <c r="B227" s="5" t="s">
        <v>237</v>
      </c>
      <c r="C227" s="5" t="s">
        <v>80</v>
      </c>
      <c r="D227" s="5" t="s">
        <v>86</v>
      </c>
      <c r="E227" s="31">
        <v>2999</v>
      </c>
      <c r="F227" s="4" t="s">
        <v>241</v>
      </c>
      <c r="G227" s="6">
        <v>253</v>
      </c>
      <c r="H227" s="6">
        <v>253</v>
      </c>
      <c r="I227" s="6">
        <v>253</v>
      </c>
      <c r="J227" s="6">
        <v>759</v>
      </c>
      <c r="K227" s="6">
        <v>253</v>
      </c>
      <c r="L227" s="6">
        <v>253</v>
      </c>
      <c r="M227" s="6">
        <v>253</v>
      </c>
      <c r="N227" s="6">
        <v>759</v>
      </c>
      <c r="O227" s="6">
        <v>253</v>
      </c>
      <c r="P227" s="6">
        <v>253</v>
      </c>
      <c r="Q227" s="6">
        <v>253</v>
      </c>
      <c r="R227" s="6">
        <v>759</v>
      </c>
      <c r="S227" s="6">
        <v>253</v>
      </c>
      <c r="T227" s="6">
        <v>253</v>
      </c>
      <c r="U227" s="6">
        <v>253</v>
      </c>
      <c r="V227" s="6">
        <v>759</v>
      </c>
      <c r="W227" s="6">
        <v>253</v>
      </c>
      <c r="X227" s="6">
        <v>253</v>
      </c>
      <c r="Y227" s="6">
        <v>253</v>
      </c>
      <c r="Z227" s="6">
        <v>759</v>
      </c>
      <c r="AA227" s="4">
        <v>759</v>
      </c>
      <c r="AB227" s="25">
        <v>1265</v>
      </c>
      <c r="AC227" s="25">
        <v>1235</v>
      </c>
      <c r="AD227" s="25">
        <v>1265</v>
      </c>
      <c r="AE227">
        <v>6831</v>
      </c>
      <c r="AF227" t="s">
        <v>199</v>
      </c>
      <c r="AG227" t="s">
        <v>199</v>
      </c>
      <c r="AH227" s="33">
        <v>0.52428226468193595</v>
      </c>
      <c r="AI227" s="12" t="e">
        <v>#N/A</v>
      </c>
      <c r="AJ227">
        <v>0</v>
      </c>
      <c r="AK227">
        <v>0</v>
      </c>
    </row>
    <row r="228" spans="1:37" ht="15.75" x14ac:dyDescent="0.25">
      <c r="A228" s="4">
        <v>227</v>
      </c>
      <c r="B228" s="5" t="s">
        <v>237</v>
      </c>
      <c r="C228" s="5" t="s">
        <v>80</v>
      </c>
      <c r="D228" s="5" t="s">
        <v>86</v>
      </c>
      <c r="E228" s="31">
        <v>2161</v>
      </c>
      <c r="F228" s="4" t="s">
        <v>241</v>
      </c>
      <c r="G228" s="6">
        <v>223</v>
      </c>
      <c r="H228" s="6">
        <v>223</v>
      </c>
      <c r="I228" s="6">
        <v>223</v>
      </c>
      <c r="J228" s="6">
        <v>669</v>
      </c>
      <c r="K228" s="6">
        <v>223</v>
      </c>
      <c r="L228" s="6">
        <v>223</v>
      </c>
      <c r="M228" s="6">
        <v>223</v>
      </c>
      <c r="N228" s="6">
        <v>669</v>
      </c>
      <c r="O228" s="6">
        <v>223</v>
      </c>
      <c r="P228" s="6">
        <v>223</v>
      </c>
      <c r="Q228" s="6">
        <v>223</v>
      </c>
      <c r="R228" s="6">
        <v>669</v>
      </c>
      <c r="S228" s="6">
        <v>223</v>
      </c>
      <c r="T228" s="6">
        <v>223</v>
      </c>
      <c r="U228" s="6">
        <v>223</v>
      </c>
      <c r="V228" s="6">
        <v>669</v>
      </c>
      <c r="W228" s="6">
        <v>223</v>
      </c>
      <c r="X228" s="6">
        <v>223</v>
      </c>
      <c r="Y228" s="6">
        <v>223</v>
      </c>
      <c r="Z228" s="6">
        <v>669</v>
      </c>
      <c r="AA228" s="4">
        <v>669</v>
      </c>
      <c r="AB228" s="25">
        <v>1115</v>
      </c>
      <c r="AC228" s="25">
        <v>1195</v>
      </c>
      <c r="AD228" s="25">
        <v>1115</v>
      </c>
      <c r="AE228">
        <v>6021</v>
      </c>
      <c r="AF228" t="s">
        <v>198</v>
      </c>
      <c r="AG228" t="s">
        <v>198</v>
      </c>
      <c r="AH228" s="33">
        <v>0.37524975142230699</v>
      </c>
      <c r="AI228" s="12">
        <v>3.7761524068719167E-2</v>
      </c>
      <c r="AJ228">
        <v>0</v>
      </c>
      <c r="AK228">
        <v>0</v>
      </c>
    </row>
    <row r="229" spans="1:37" ht="15.75" x14ac:dyDescent="0.25">
      <c r="A229" s="4">
        <v>228</v>
      </c>
      <c r="B229" s="5" t="s">
        <v>237</v>
      </c>
      <c r="C229" s="5" t="s">
        <v>80</v>
      </c>
      <c r="D229" s="5" t="s">
        <v>86</v>
      </c>
      <c r="E229" s="31">
        <v>33440</v>
      </c>
      <c r="F229" s="4" t="s">
        <v>241</v>
      </c>
      <c r="G229" s="6">
        <v>303</v>
      </c>
      <c r="H229" s="6">
        <v>303</v>
      </c>
      <c r="I229" s="6">
        <v>303</v>
      </c>
      <c r="J229" s="6">
        <v>909</v>
      </c>
      <c r="K229" s="6">
        <v>303</v>
      </c>
      <c r="L229" s="6">
        <v>303</v>
      </c>
      <c r="M229" s="6">
        <v>303</v>
      </c>
      <c r="N229" s="6">
        <v>909</v>
      </c>
      <c r="O229" s="6">
        <v>303</v>
      </c>
      <c r="P229" s="6">
        <v>303</v>
      </c>
      <c r="Q229" s="6">
        <v>303</v>
      </c>
      <c r="R229" s="6">
        <v>909</v>
      </c>
      <c r="S229" s="6">
        <v>303</v>
      </c>
      <c r="T229" s="6">
        <v>303</v>
      </c>
      <c r="U229" s="6">
        <v>303</v>
      </c>
      <c r="V229" s="6">
        <v>909</v>
      </c>
      <c r="W229" s="6">
        <v>301</v>
      </c>
      <c r="X229" s="6">
        <v>303</v>
      </c>
      <c r="Y229" s="6">
        <v>303</v>
      </c>
      <c r="Z229" s="6">
        <v>907</v>
      </c>
      <c r="AA229" s="4">
        <v>909</v>
      </c>
      <c r="AB229" s="25">
        <v>1513</v>
      </c>
      <c r="AC229" s="25">
        <v>1676</v>
      </c>
      <c r="AD229" s="25">
        <v>1515</v>
      </c>
      <c r="AE229">
        <v>8179</v>
      </c>
      <c r="AF229" t="s">
        <v>199</v>
      </c>
      <c r="AG229" t="s">
        <v>198</v>
      </c>
      <c r="AH229" s="33">
        <v>0.61284848172288442</v>
      </c>
      <c r="AI229" s="12">
        <v>3.6736437419906023E-2</v>
      </c>
      <c r="AJ229">
        <v>0</v>
      </c>
      <c r="AK229">
        <v>0</v>
      </c>
    </row>
    <row r="230" spans="1:37" ht="15.75" x14ac:dyDescent="0.25">
      <c r="A230" s="4">
        <v>229</v>
      </c>
      <c r="B230" s="5" t="s">
        <v>237</v>
      </c>
      <c r="C230" s="5" t="s">
        <v>80</v>
      </c>
      <c r="D230" s="5" t="s">
        <v>86</v>
      </c>
      <c r="E230" s="31">
        <v>2163</v>
      </c>
      <c r="F230" s="4" t="s">
        <v>240</v>
      </c>
      <c r="G230" s="6">
        <v>464</v>
      </c>
      <c r="H230" s="6">
        <v>464</v>
      </c>
      <c r="I230" s="6">
        <v>464</v>
      </c>
      <c r="J230" s="6">
        <v>1392</v>
      </c>
      <c r="K230" s="6">
        <v>464</v>
      </c>
      <c r="L230" s="6">
        <v>464</v>
      </c>
      <c r="M230" s="6">
        <v>464</v>
      </c>
      <c r="N230" s="6">
        <v>1392</v>
      </c>
      <c r="O230" s="6">
        <v>464</v>
      </c>
      <c r="P230" s="6">
        <v>464</v>
      </c>
      <c r="Q230" s="6">
        <v>464</v>
      </c>
      <c r="R230" s="6">
        <v>1392</v>
      </c>
      <c r="S230" s="6">
        <v>464</v>
      </c>
      <c r="T230" s="6">
        <v>464</v>
      </c>
      <c r="U230" s="6">
        <v>464</v>
      </c>
      <c r="V230" s="6">
        <v>1392</v>
      </c>
      <c r="W230" s="6">
        <v>464</v>
      </c>
      <c r="X230" s="6">
        <v>464</v>
      </c>
      <c r="Y230" s="6">
        <v>464</v>
      </c>
      <c r="Z230" s="6">
        <v>1392</v>
      </c>
      <c r="AA230" s="4">
        <v>1392</v>
      </c>
      <c r="AB230" s="25">
        <v>2320</v>
      </c>
      <c r="AC230" s="25">
        <v>2065</v>
      </c>
      <c r="AD230" s="25">
        <v>2320</v>
      </c>
      <c r="AE230">
        <v>12528</v>
      </c>
      <c r="AF230" t="s">
        <v>198</v>
      </c>
      <c r="AG230" t="s">
        <v>199</v>
      </c>
      <c r="AH230" s="33">
        <v>0.69246637023860813</v>
      </c>
      <c r="AI230" s="12">
        <v>0</v>
      </c>
      <c r="AJ230">
        <v>0</v>
      </c>
      <c r="AK230">
        <v>0</v>
      </c>
    </row>
    <row r="231" spans="1:37" ht="15.75" x14ac:dyDescent="0.25">
      <c r="A231" s="4">
        <v>230</v>
      </c>
      <c r="B231" s="5" t="s">
        <v>237</v>
      </c>
      <c r="C231" s="5" t="s">
        <v>80</v>
      </c>
      <c r="D231" s="5" t="s">
        <v>87</v>
      </c>
      <c r="E231" s="31">
        <v>33435</v>
      </c>
      <c r="F231" s="4" t="s">
        <v>241</v>
      </c>
      <c r="G231" s="6">
        <v>209</v>
      </c>
      <c r="H231" s="6">
        <v>209</v>
      </c>
      <c r="I231" s="6">
        <v>209</v>
      </c>
      <c r="J231" s="6">
        <v>627</v>
      </c>
      <c r="K231" s="6">
        <v>209</v>
      </c>
      <c r="L231" s="6">
        <v>209</v>
      </c>
      <c r="M231" s="6">
        <v>209</v>
      </c>
      <c r="N231" s="6">
        <v>627</v>
      </c>
      <c r="O231" s="6">
        <v>209</v>
      </c>
      <c r="P231" s="6">
        <v>209</v>
      </c>
      <c r="Q231" s="6">
        <v>209</v>
      </c>
      <c r="R231" s="6">
        <v>627</v>
      </c>
      <c r="S231" s="6">
        <v>209</v>
      </c>
      <c r="T231" s="6">
        <v>209</v>
      </c>
      <c r="U231" s="6">
        <v>209</v>
      </c>
      <c r="V231" s="6">
        <v>627</v>
      </c>
      <c r="W231" s="6">
        <v>209</v>
      </c>
      <c r="X231" s="6">
        <v>209</v>
      </c>
      <c r="Y231" s="6">
        <v>209</v>
      </c>
      <c r="Z231" s="6">
        <v>627</v>
      </c>
      <c r="AA231" s="4">
        <v>627</v>
      </c>
      <c r="AB231" s="25">
        <v>1045</v>
      </c>
      <c r="AC231" s="25">
        <v>1300</v>
      </c>
      <c r="AD231" s="25">
        <v>1045</v>
      </c>
      <c r="AE231">
        <v>5643</v>
      </c>
      <c r="AF231" t="s">
        <v>198</v>
      </c>
      <c r="AG231" t="s">
        <v>199</v>
      </c>
      <c r="AH231" s="33">
        <v>0.13480473905478485</v>
      </c>
      <c r="AI231" s="12">
        <v>2.3355417252225123E-2</v>
      </c>
      <c r="AJ231">
        <v>0</v>
      </c>
      <c r="AK231">
        <v>0</v>
      </c>
    </row>
    <row r="232" spans="1:37" ht="15.75" x14ac:dyDescent="0.25">
      <c r="A232" s="4">
        <v>231</v>
      </c>
      <c r="B232" s="5" t="s">
        <v>237</v>
      </c>
      <c r="C232" s="5" t="s">
        <v>80</v>
      </c>
      <c r="D232" s="5" t="s">
        <v>87</v>
      </c>
      <c r="E232" s="31">
        <v>7994</v>
      </c>
      <c r="F232" s="4" t="s">
        <v>240</v>
      </c>
      <c r="G232" s="6">
        <v>464</v>
      </c>
      <c r="H232" s="6">
        <v>464</v>
      </c>
      <c r="I232" s="6">
        <v>464</v>
      </c>
      <c r="J232" s="6">
        <v>1392</v>
      </c>
      <c r="K232" s="6">
        <v>464</v>
      </c>
      <c r="L232" s="6">
        <v>464</v>
      </c>
      <c r="M232" s="6">
        <v>464</v>
      </c>
      <c r="N232" s="6">
        <v>1392</v>
      </c>
      <c r="O232" s="6">
        <v>464</v>
      </c>
      <c r="P232" s="6">
        <v>464</v>
      </c>
      <c r="Q232" s="6">
        <v>464</v>
      </c>
      <c r="R232" s="6">
        <v>1392</v>
      </c>
      <c r="S232" s="6">
        <v>464</v>
      </c>
      <c r="T232" s="6">
        <v>464</v>
      </c>
      <c r="U232" s="6">
        <v>464</v>
      </c>
      <c r="V232" s="6">
        <v>1392</v>
      </c>
      <c r="W232" s="6">
        <v>464</v>
      </c>
      <c r="X232" s="6">
        <v>464</v>
      </c>
      <c r="Y232" s="6">
        <v>464</v>
      </c>
      <c r="Z232" s="6">
        <v>1392</v>
      </c>
      <c r="AA232" s="4">
        <v>1392</v>
      </c>
      <c r="AB232" s="25">
        <v>2320</v>
      </c>
      <c r="AC232" s="25">
        <v>2574</v>
      </c>
      <c r="AD232" s="25">
        <v>2320</v>
      </c>
      <c r="AE232">
        <v>12528</v>
      </c>
      <c r="AF232" t="s">
        <v>198</v>
      </c>
      <c r="AG232" t="s">
        <v>199</v>
      </c>
      <c r="AH232" s="33">
        <v>0.53583554643469444</v>
      </c>
      <c r="AI232" s="12" t="e">
        <v>#N/A</v>
      </c>
      <c r="AJ232">
        <v>0</v>
      </c>
      <c r="AK232">
        <v>0</v>
      </c>
    </row>
    <row r="233" spans="1:37" ht="15.75" x14ac:dyDescent="0.25">
      <c r="A233" s="4">
        <v>232</v>
      </c>
      <c r="B233" s="5" t="s">
        <v>238</v>
      </c>
      <c r="C233" s="5" t="s">
        <v>147</v>
      </c>
      <c r="D233" s="5" t="s">
        <v>148</v>
      </c>
      <c r="E233" s="31">
        <v>8042</v>
      </c>
      <c r="F233" s="4" t="s">
        <v>242</v>
      </c>
      <c r="G233" s="6">
        <v>718</v>
      </c>
      <c r="H233" s="6">
        <v>718</v>
      </c>
      <c r="I233" s="6">
        <v>718</v>
      </c>
      <c r="J233" s="6">
        <v>2154</v>
      </c>
      <c r="K233" s="6">
        <v>718</v>
      </c>
      <c r="L233" s="6">
        <v>718</v>
      </c>
      <c r="M233" s="6">
        <v>718</v>
      </c>
      <c r="N233" s="6">
        <v>2154</v>
      </c>
      <c r="O233" s="6">
        <v>718</v>
      </c>
      <c r="P233" s="6">
        <v>718</v>
      </c>
      <c r="Q233" s="6">
        <v>718</v>
      </c>
      <c r="R233" s="6">
        <v>2154</v>
      </c>
      <c r="S233" s="6">
        <v>718</v>
      </c>
      <c r="T233" s="6">
        <v>718</v>
      </c>
      <c r="U233" s="6">
        <v>718</v>
      </c>
      <c r="V233" s="6">
        <v>2154</v>
      </c>
      <c r="W233" s="6">
        <v>718</v>
      </c>
      <c r="X233" s="6">
        <v>718</v>
      </c>
      <c r="Y233" s="6">
        <v>717</v>
      </c>
      <c r="Z233" s="6">
        <v>2153</v>
      </c>
      <c r="AA233" s="4">
        <v>2154</v>
      </c>
      <c r="AB233" s="25">
        <v>3590</v>
      </c>
      <c r="AC233" s="25">
        <v>3207</v>
      </c>
      <c r="AD233" s="25">
        <v>3589</v>
      </c>
      <c r="AE233">
        <v>19385</v>
      </c>
      <c r="AF233" t="s">
        <v>199</v>
      </c>
      <c r="AG233" t="s">
        <v>198</v>
      </c>
      <c r="AH233" s="33">
        <v>0.89446986217163749</v>
      </c>
      <c r="AI233" s="12" t="e">
        <v>#N/A</v>
      </c>
      <c r="AJ233">
        <v>0</v>
      </c>
      <c r="AK233">
        <v>1</v>
      </c>
    </row>
    <row r="234" spans="1:37" ht="15.75" x14ac:dyDescent="0.25">
      <c r="A234" s="4">
        <v>233</v>
      </c>
      <c r="B234" s="5" t="s">
        <v>238</v>
      </c>
      <c r="C234" s="5" t="s">
        <v>147</v>
      </c>
      <c r="D234" s="5" t="s">
        <v>149</v>
      </c>
      <c r="E234" s="31">
        <v>12322</v>
      </c>
      <c r="F234" s="4" t="s">
        <v>240</v>
      </c>
      <c r="G234" s="6">
        <v>335</v>
      </c>
      <c r="H234" s="6">
        <v>335</v>
      </c>
      <c r="I234" s="6">
        <v>335</v>
      </c>
      <c r="J234" s="6">
        <v>1005</v>
      </c>
      <c r="K234" s="6">
        <v>335</v>
      </c>
      <c r="L234" s="6">
        <v>335</v>
      </c>
      <c r="M234" s="6">
        <v>334</v>
      </c>
      <c r="N234" s="6">
        <v>1004</v>
      </c>
      <c r="O234" s="6">
        <v>334</v>
      </c>
      <c r="P234" s="6">
        <v>334</v>
      </c>
      <c r="Q234" s="6">
        <v>334</v>
      </c>
      <c r="R234" s="6">
        <v>1002</v>
      </c>
      <c r="S234" s="6">
        <v>334</v>
      </c>
      <c r="T234" s="6">
        <v>334</v>
      </c>
      <c r="U234" s="6">
        <v>334</v>
      </c>
      <c r="V234" s="6">
        <v>1002</v>
      </c>
      <c r="W234" s="6">
        <v>334</v>
      </c>
      <c r="X234" s="6">
        <v>334</v>
      </c>
      <c r="Y234" s="6">
        <v>334</v>
      </c>
      <c r="Z234" s="6">
        <v>1002</v>
      </c>
      <c r="AA234" s="4">
        <v>1005</v>
      </c>
      <c r="AB234" s="25">
        <v>1672</v>
      </c>
      <c r="AC234" s="25">
        <v>1441</v>
      </c>
      <c r="AD234" s="25">
        <v>1671</v>
      </c>
      <c r="AE234">
        <v>9028</v>
      </c>
      <c r="AF234" t="s">
        <v>199</v>
      </c>
      <c r="AG234" t="s">
        <v>198</v>
      </c>
      <c r="AH234" s="33">
        <v>0.87960360565646878</v>
      </c>
      <c r="AI234" s="12">
        <v>0</v>
      </c>
      <c r="AJ234">
        <v>0</v>
      </c>
      <c r="AK234">
        <v>0</v>
      </c>
    </row>
    <row r="235" spans="1:37" ht="15.75" x14ac:dyDescent="0.25">
      <c r="A235" s="4">
        <v>234</v>
      </c>
      <c r="B235" s="5" t="s">
        <v>238</v>
      </c>
      <c r="C235" s="5" t="s">
        <v>147</v>
      </c>
      <c r="D235" s="5" t="s">
        <v>150</v>
      </c>
      <c r="E235" s="31">
        <v>8799</v>
      </c>
      <c r="F235" s="4" t="s">
        <v>240</v>
      </c>
      <c r="G235" s="6">
        <v>104</v>
      </c>
      <c r="H235" s="6">
        <v>104</v>
      </c>
      <c r="I235" s="6">
        <v>104</v>
      </c>
      <c r="J235" s="6">
        <v>312</v>
      </c>
      <c r="K235" s="6">
        <v>104</v>
      </c>
      <c r="L235" s="6">
        <v>104</v>
      </c>
      <c r="M235" s="6">
        <v>103</v>
      </c>
      <c r="N235" s="6">
        <v>311</v>
      </c>
      <c r="O235" s="6">
        <v>103</v>
      </c>
      <c r="P235" s="6">
        <v>103</v>
      </c>
      <c r="Q235" s="6">
        <v>103</v>
      </c>
      <c r="R235" s="6">
        <v>309</v>
      </c>
      <c r="S235" s="6">
        <v>103</v>
      </c>
      <c r="T235" s="6">
        <v>103</v>
      </c>
      <c r="U235" s="6">
        <v>103</v>
      </c>
      <c r="V235" s="6">
        <v>309</v>
      </c>
      <c r="W235" s="6">
        <v>103</v>
      </c>
      <c r="X235" s="6">
        <v>103</v>
      </c>
      <c r="Y235" s="6">
        <v>103</v>
      </c>
      <c r="Z235" s="6">
        <v>309</v>
      </c>
      <c r="AA235" s="4">
        <v>312</v>
      </c>
      <c r="AB235" s="25">
        <v>517</v>
      </c>
      <c r="AC235" s="25">
        <v>813</v>
      </c>
      <c r="AD235" s="25">
        <v>516</v>
      </c>
      <c r="AE235">
        <v>2791</v>
      </c>
      <c r="AF235" t="s">
        <v>198</v>
      </c>
      <c r="AG235" t="s">
        <v>198</v>
      </c>
      <c r="AH235" s="33">
        <v>0.12514978223411954</v>
      </c>
      <c r="AI235" s="12">
        <v>0</v>
      </c>
      <c r="AJ235">
        <v>0</v>
      </c>
      <c r="AK235">
        <v>0</v>
      </c>
    </row>
    <row r="236" spans="1:37" ht="15.75" x14ac:dyDescent="0.25">
      <c r="A236" s="4">
        <v>235</v>
      </c>
      <c r="B236" s="5" t="s">
        <v>238</v>
      </c>
      <c r="C236" s="5" t="s">
        <v>147</v>
      </c>
      <c r="D236" s="5" t="s">
        <v>150</v>
      </c>
      <c r="E236" s="31">
        <v>8763</v>
      </c>
      <c r="F236" s="4" t="s">
        <v>240</v>
      </c>
      <c r="G236" s="6">
        <v>400</v>
      </c>
      <c r="H236" s="6">
        <v>400</v>
      </c>
      <c r="I236" s="6">
        <v>400</v>
      </c>
      <c r="J236" s="6">
        <v>1200</v>
      </c>
      <c r="K236" s="6">
        <v>400</v>
      </c>
      <c r="L236" s="6">
        <v>400</v>
      </c>
      <c r="M236" s="6">
        <v>400</v>
      </c>
      <c r="N236" s="6">
        <v>1200</v>
      </c>
      <c r="O236" s="6">
        <v>400</v>
      </c>
      <c r="P236" s="6">
        <v>400</v>
      </c>
      <c r="Q236" s="6">
        <v>400</v>
      </c>
      <c r="R236" s="6">
        <v>1200</v>
      </c>
      <c r="S236" s="6">
        <v>400</v>
      </c>
      <c r="T236" s="6">
        <v>400</v>
      </c>
      <c r="U236" s="6">
        <v>400</v>
      </c>
      <c r="V236" s="6">
        <v>1200</v>
      </c>
      <c r="W236" s="6">
        <v>400</v>
      </c>
      <c r="X236" s="6">
        <v>400</v>
      </c>
      <c r="Y236" s="6">
        <v>400</v>
      </c>
      <c r="Z236" s="6">
        <v>1200</v>
      </c>
      <c r="AA236" s="4">
        <v>1200</v>
      </c>
      <c r="AB236" s="25">
        <v>2000</v>
      </c>
      <c r="AC236" s="25">
        <v>2055</v>
      </c>
      <c r="AD236" s="25">
        <v>2000</v>
      </c>
      <c r="AE236">
        <v>10800</v>
      </c>
      <c r="AF236" t="s">
        <v>198</v>
      </c>
      <c r="AG236" t="s">
        <v>199</v>
      </c>
      <c r="AH236" s="33">
        <v>0.1265530134723567</v>
      </c>
      <c r="AI236" s="12">
        <v>1.6760937319635232E-2</v>
      </c>
      <c r="AJ236">
        <v>0</v>
      </c>
      <c r="AK236">
        <v>0</v>
      </c>
    </row>
    <row r="237" spans="1:37" ht="15.75" x14ac:dyDescent="0.25">
      <c r="A237" s="4">
        <v>236</v>
      </c>
      <c r="B237" s="5" t="s">
        <v>238</v>
      </c>
      <c r="C237" s="5" t="s">
        <v>147</v>
      </c>
      <c r="D237" s="5" t="s">
        <v>151</v>
      </c>
      <c r="E237" s="31">
        <v>2288</v>
      </c>
      <c r="F237" s="4" t="s">
        <v>240</v>
      </c>
      <c r="G237" s="6">
        <v>455</v>
      </c>
      <c r="H237" s="6">
        <v>455</v>
      </c>
      <c r="I237" s="6">
        <v>455</v>
      </c>
      <c r="J237" s="6">
        <v>1365</v>
      </c>
      <c r="K237" s="6">
        <v>455</v>
      </c>
      <c r="L237" s="6">
        <v>455</v>
      </c>
      <c r="M237" s="6">
        <v>455</v>
      </c>
      <c r="N237" s="6">
        <v>1365</v>
      </c>
      <c r="O237" s="6">
        <v>455</v>
      </c>
      <c r="P237" s="6">
        <v>455</v>
      </c>
      <c r="Q237" s="6">
        <v>455</v>
      </c>
      <c r="R237" s="6">
        <v>1365</v>
      </c>
      <c r="S237" s="6">
        <v>455</v>
      </c>
      <c r="T237" s="6">
        <v>455</v>
      </c>
      <c r="U237" s="6">
        <v>455</v>
      </c>
      <c r="V237" s="6">
        <v>1365</v>
      </c>
      <c r="W237" s="6">
        <v>455</v>
      </c>
      <c r="X237" s="6">
        <v>455</v>
      </c>
      <c r="Y237" s="6">
        <v>455</v>
      </c>
      <c r="Z237" s="6">
        <v>1365</v>
      </c>
      <c r="AA237" s="4">
        <v>1365</v>
      </c>
      <c r="AB237" s="25">
        <v>2275</v>
      </c>
      <c r="AC237" s="25">
        <v>2008</v>
      </c>
      <c r="AD237" s="25">
        <v>2275</v>
      </c>
      <c r="AE237">
        <v>12285</v>
      </c>
      <c r="AF237" t="s">
        <v>198</v>
      </c>
      <c r="AG237" t="s">
        <v>199</v>
      </c>
      <c r="AH237" s="33">
        <v>0.36045993670747734</v>
      </c>
      <c r="AI237" s="12">
        <v>0</v>
      </c>
      <c r="AJ237">
        <v>0</v>
      </c>
      <c r="AK237">
        <v>0</v>
      </c>
    </row>
    <row r="238" spans="1:37" ht="15.75" x14ac:dyDescent="0.25">
      <c r="A238" s="4">
        <v>237</v>
      </c>
      <c r="B238" s="5" t="s">
        <v>238</v>
      </c>
      <c r="C238" s="5" t="s">
        <v>147</v>
      </c>
      <c r="D238" s="5" t="s">
        <v>151</v>
      </c>
      <c r="E238" s="31">
        <v>14458</v>
      </c>
      <c r="F238" s="4" t="s">
        <v>240</v>
      </c>
      <c r="G238" s="6">
        <v>189</v>
      </c>
      <c r="H238" s="6">
        <v>188</v>
      </c>
      <c r="I238" s="6">
        <v>188</v>
      </c>
      <c r="J238" s="6">
        <v>565</v>
      </c>
      <c r="K238" s="6">
        <v>188</v>
      </c>
      <c r="L238" s="6">
        <v>188</v>
      </c>
      <c r="M238" s="6">
        <v>188</v>
      </c>
      <c r="N238" s="6">
        <v>564</v>
      </c>
      <c r="O238" s="6">
        <v>188</v>
      </c>
      <c r="P238" s="6">
        <v>188</v>
      </c>
      <c r="Q238" s="6">
        <v>188</v>
      </c>
      <c r="R238" s="6">
        <v>564</v>
      </c>
      <c r="S238" s="6">
        <v>188</v>
      </c>
      <c r="T238" s="6">
        <v>188</v>
      </c>
      <c r="U238" s="6">
        <v>188</v>
      </c>
      <c r="V238" s="6">
        <v>564</v>
      </c>
      <c r="W238" s="6">
        <v>188</v>
      </c>
      <c r="X238" s="6">
        <v>188</v>
      </c>
      <c r="Y238" s="6">
        <v>188</v>
      </c>
      <c r="Z238" s="6">
        <v>564</v>
      </c>
      <c r="AA238" s="4">
        <v>565</v>
      </c>
      <c r="AB238" s="25">
        <v>940</v>
      </c>
      <c r="AC238" s="25">
        <v>1210</v>
      </c>
      <c r="AD238" s="25">
        <v>940</v>
      </c>
      <c r="AE238">
        <v>5078</v>
      </c>
      <c r="AF238" t="s">
        <v>198</v>
      </c>
      <c r="AG238" t="s">
        <v>199</v>
      </c>
      <c r="AH238" s="33">
        <v>2.929301544057572E-3</v>
      </c>
      <c r="AI238" s="12">
        <v>8.7091519902270181E-2</v>
      </c>
      <c r="AJ238">
        <v>1</v>
      </c>
      <c r="AK238">
        <v>0</v>
      </c>
    </row>
    <row r="239" spans="1:37" ht="15.75" x14ac:dyDescent="0.25">
      <c r="A239" s="4">
        <v>238</v>
      </c>
      <c r="B239" s="5" t="s">
        <v>238</v>
      </c>
      <c r="C239" s="5" t="s">
        <v>147</v>
      </c>
      <c r="D239" s="5" t="s">
        <v>152</v>
      </c>
      <c r="E239" s="31">
        <v>38190</v>
      </c>
      <c r="F239" s="4" t="s">
        <v>240</v>
      </c>
      <c r="G239" s="6">
        <v>458</v>
      </c>
      <c r="H239" s="6">
        <v>458</v>
      </c>
      <c r="I239" s="6">
        <v>458</v>
      </c>
      <c r="J239" s="6">
        <v>1374</v>
      </c>
      <c r="K239" s="6">
        <v>458</v>
      </c>
      <c r="L239" s="6">
        <v>458</v>
      </c>
      <c r="M239" s="6">
        <v>458</v>
      </c>
      <c r="N239" s="6">
        <v>1374</v>
      </c>
      <c r="O239" s="6">
        <v>458</v>
      </c>
      <c r="P239" s="6">
        <v>458</v>
      </c>
      <c r="Q239" s="6">
        <v>458</v>
      </c>
      <c r="R239" s="6">
        <v>1374</v>
      </c>
      <c r="S239" s="6">
        <v>458</v>
      </c>
      <c r="T239" s="6">
        <v>458</v>
      </c>
      <c r="U239" s="6">
        <v>458</v>
      </c>
      <c r="V239" s="6">
        <v>1374</v>
      </c>
      <c r="W239" s="6">
        <v>458</v>
      </c>
      <c r="X239" s="6">
        <v>458</v>
      </c>
      <c r="Y239" s="6">
        <v>458</v>
      </c>
      <c r="Z239" s="6">
        <v>1374</v>
      </c>
      <c r="AA239" s="4">
        <v>1374</v>
      </c>
      <c r="AB239" s="25">
        <v>2290</v>
      </c>
      <c r="AC239" s="25">
        <v>2388</v>
      </c>
      <c r="AD239" s="25">
        <v>2290</v>
      </c>
      <c r="AE239">
        <v>12366</v>
      </c>
      <c r="AF239" t="s">
        <v>198</v>
      </c>
      <c r="AG239" t="s">
        <v>199</v>
      </c>
      <c r="AH239" s="33">
        <v>0.1538314633538691</v>
      </c>
      <c r="AI239" s="12">
        <v>0</v>
      </c>
      <c r="AJ239">
        <v>0</v>
      </c>
      <c r="AK239">
        <v>0</v>
      </c>
    </row>
    <row r="240" spans="1:37" ht="15.75" x14ac:dyDescent="0.25">
      <c r="A240" s="4">
        <v>239</v>
      </c>
      <c r="B240" s="5" t="s">
        <v>238</v>
      </c>
      <c r="C240" s="5" t="s">
        <v>147</v>
      </c>
      <c r="D240" s="5" t="s">
        <v>153</v>
      </c>
      <c r="E240" s="31">
        <v>4815</v>
      </c>
      <c r="F240" s="4" t="s">
        <v>240</v>
      </c>
      <c r="G240" s="6">
        <v>556</v>
      </c>
      <c r="H240" s="6">
        <v>556</v>
      </c>
      <c r="I240" s="6">
        <v>556</v>
      </c>
      <c r="J240" s="6">
        <v>1668</v>
      </c>
      <c r="K240" s="6">
        <v>556</v>
      </c>
      <c r="L240" s="6">
        <v>556</v>
      </c>
      <c r="M240" s="6">
        <v>556</v>
      </c>
      <c r="N240" s="6">
        <v>1668</v>
      </c>
      <c r="O240" s="6">
        <v>556</v>
      </c>
      <c r="P240" s="6">
        <v>556</v>
      </c>
      <c r="Q240" s="6">
        <v>556</v>
      </c>
      <c r="R240" s="6">
        <v>1668</v>
      </c>
      <c r="S240" s="6">
        <v>556</v>
      </c>
      <c r="T240" s="6">
        <v>556</v>
      </c>
      <c r="U240" s="6">
        <v>555</v>
      </c>
      <c r="V240" s="6">
        <v>1667</v>
      </c>
      <c r="W240" s="6">
        <v>555</v>
      </c>
      <c r="X240" s="6">
        <v>555</v>
      </c>
      <c r="Y240" s="6">
        <v>555</v>
      </c>
      <c r="Z240" s="6">
        <v>1665</v>
      </c>
      <c r="AA240" s="4">
        <v>1668</v>
      </c>
      <c r="AB240" s="25">
        <v>2779</v>
      </c>
      <c r="AC240" s="25">
        <v>2681</v>
      </c>
      <c r="AD240" s="25">
        <v>2778</v>
      </c>
      <c r="AE240">
        <v>15007</v>
      </c>
      <c r="AF240" t="s">
        <v>199</v>
      </c>
      <c r="AG240" t="s">
        <v>199</v>
      </c>
      <c r="AH240" s="33">
        <v>7.5088412797619686E-2</v>
      </c>
      <c r="AI240" s="12">
        <v>0</v>
      </c>
      <c r="AJ240">
        <v>0</v>
      </c>
      <c r="AK240">
        <v>0</v>
      </c>
    </row>
    <row r="241" spans="1:37" ht="15.75" x14ac:dyDescent="0.25">
      <c r="A241" s="4">
        <v>240</v>
      </c>
      <c r="B241" s="5" t="s">
        <v>238</v>
      </c>
      <c r="C241" s="5" t="s">
        <v>147</v>
      </c>
      <c r="D241" s="5" t="s">
        <v>154</v>
      </c>
      <c r="E241" s="31">
        <v>8756</v>
      </c>
      <c r="F241" s="4" t="s">
        <v>240</v>
      </c>
      <c r="G241" s="6">
        <v>458</v>
      </c>
      <c r="H241" s="6">
        <v>458</v>
      </c>
      <c r="I241" s="6">
        <v>458</v>
      </c>
      <c r="J241" s="6">
        <v>1374</v>
      </c>
      <c r="K241" s="6">
        <v>458</v>
      </c>
      <c r="L241" s="6">
        <v>458</v>
      </c>
      <c r="M241" s="6">
        <v>458</v>
      </c>
      <c r="N241" s="6">
        <v>1374</v>
      </c>
      <c r="O241" s="6">
        <v>458</v>
      </c>
      <c r="P241" s="6">
        <v>458</v>
      </c>
      <c r="Q241" s="6">
        <v>458</v>
      </c>
      <c r="R241" s="6">
        <v>1374</v>
      </c>
      <c r="S241" s="6">
        <v>458</v>
      </c>
      <c r="T241" s="6">
        <v>458</v>
      </c>
      <c r="U241" s="6">
        <v>458</v>
      </c>
      <c r="V241" s="6">
        <v>1374</v>
      </c>
      <c r="W241" s="6">
        <v>458</v>
      </c>
      <c r="X241" s="6">
        <v>458</v>
      </c>
      <c r="Y241" s="6">
        <v>458</v>
      </c>
      <c r="Z241" s="6">
        <v>1374</v>
      </c>
      <c r="AA241" s="4">
        <v>1374</v>
      </c>
      <c r="AB241" s="25">
        <v>2290</v>
      </c>
      <c r="AC241" s="25">
        <v>2762</v>
      </c>
      <c r="AD241" s="25">
        <v>2290</v>
      </c>
      <c r="AE241">
        <v>12366</v>
      </c>
      <c r="AF241" t="s">
        <v>198</v>
      </c>
      <c r="AG241" t="s">
        <v>198</v>
      </c>
      <c r="AH241" s="33">
        <v>0.44350159333754446</v>
      </c>
      <c r="AI241" s="12" t="e">
        <v>#N/A</v>
      </c>
      <c r="AJ241">
        <v>0</v>
      </c>
      <c r="AK241">
        <v>0</v>
      </c>
    </row>
    <row r="242" spans="1:37" ht="15.75" x14ac:dyDescent="0.25">
      <c r="A242" s="4">
        <v>241</v>
      </c>
      <c r="B242" s="5" t="s">
        <v>238</v>
      </c>
      <c r="C242" s="5" t="s">
        <v>134</v>
      </c>
      <c r="D242" s="5" t="s">
        <v>135</v>
      </c>
      <c r="E242" s="31">
        <v>2400</v>
      </c>
      <c r="F242" s="4" t="s">
        <v>240</v>
      </c>
      <c r="G242" s="6">
        <v>930</v>
      </c>
      <c r="H242" s="6">
        <v>930</v>
      </c>
      <c r="I242" s="6">
        <v>930</v>
      </c>
      <c r="J242" s="6">
        <v>2790</v>
      </c>
      <c r="K242" s="6">
        <v>930</v>
      </c>
      <c r="L242" s="6">
        <v>930</v>
      </c>
      <c r="M242" s="6">
        <v>930</v>
      </c>
      <c r="N242" s="6">
        <v>2790</v>
      </c>
      <c r="O242" s="6">
        <v>930</v>
      </c>
      <c r="P242" s="6">
        <v>930</v>
      </c>
      <c r="Q242" s="6">
        <v>930</v>
      </c>
      <c r="R242" s="6">
        <v>2790</v>
      </c>
      <c r="S242" s="6">
        <v>930</v>
      </c>
      <c r="T242" s="6">
        <v>930</v>
      </c>
      <c r="U242" s="6">
        <v>930</v>
      </c>
      <c r="V242" s="6">
        <v>2790</v>
      </c>
      <c r="W242" s="6">
        <v>930</v>
      </c>
      <c r="X242" s="6">
        <v>930</v>
      </c>
      <c r="Y242" s="6">
        <v>930</v>
      </c>
      <c r="Z242" s="6">
        <v>2790</v>
      </c>
      <c r="AA242" s="4">
        <v>2790</v>
      </c>
      <c r="AB242" s="25">
        <v>4650</v>
      </c>
      <c r="AC242" s="25">
        <v>4326</v>
      </c>
      <c r="AD242" s="25">
        <v>4650</v>
      </c>
      <c r="AE242">
        <v>25110</v>
      </c>
      <c r="AF242" t="s">
        <v>198</v>
      </c>
      <c r="AG242" t="s">
        <v>199</v>
      </c>
      <c r="AH242" s="33">
        <v>0.14174520556998615</v>
      </c>
      <c r="AI242" s="12">
        <v>0.14746794713133013</v>
      </c>
      <c r="AJ242">
        <v>0</v>
      </c>
      <c r="AK242">
        <v>0</v>
      </c>
    </row>
    <row r="243" spans="1:37" ht="15.75" x14ac:dyDescent="0.25">
      <c r="A243" s="4">
        <v>242</v>
      </c>
      <c r="B243" s="5" t="s">
        <v>238</v>
      </c>
      <c r="C243" s="5" t="s">
        <v>134</v>
      </c>
      <c r="D243" s="5" t="s">
        <v>135</v>
      </c>
      <c r="E243" s="31">
        <v>37512</v>
      </c>
      <c r="F243" s="4" t="s">
        <v>240</v>
      </c>
      <c r="G243" s="6">
        <v>606</v>
      </c>
      <c r="H243" s="6">
        <v>606</v>
      </c>
      <c r="I243" s="6">
        <v>606</v>
      </c>
      <c r="J243" s="6">
        <v>1818</v>
      </c>
      <c r="K243" s="6">
        <v>605</v>
      </c>
      <c r="L243" s="6">
        <v>605</v>
      </c>
      <c r="M243" s="6">
        <v>605</v>
      </c>
      <c r="N243" s="6">
        <v>1815</v>
      </c>
      <c r="O243" s="6">
        <v>605</v>
      </c>
      <c r="P243" s="6">
        <v>605</v>
      </c>
      <c r="Q243" s="6">
        <v>605</v>
      </c>
      <c r="R243" s="6">
        <v>1815</v>
      </c>
      <c r="S243" s="6">
        <v>605</v>
      </c>
      <c r="T243" s="6">
        <v>605</v>
      </c>
      <c r="U243" s="6">
        <v>605</v>
      </c>
      <c r="V243" s="6">
        <v>1815</v>
      </c>
      <c r="W243" s="6">
        <v>605</v>
      </c>
      <c r="X243" s="6">
        <v>605</v>
      </c>
      <c r="Y243" s="6">
        <v>605</v>
      </c>
      <c r="Z243" s="6">
        <v>1815</v>
      </c>
      <c r="AA243" s="4">
        <v>1818</v>
      </c>
      <c r="AB243" s="25">
        <v>3026</v>
      </c>
      <c r="AC243" s="25">
        <v>3350</v>
      </c>
      <c r="AD243" s="25">
        <v>3026</v>
      </c>
      <c r="AE243">
        <v>16341</v>
      </c>
      <c r="AF243" t="s">
        <v>199</v>
      </c>
      <c r="AG243" t="s">
        <v>199</v>
      </c>
      <c r="AH243" s="33">
        <v>0.90016576691813655</v>
      </c>
      <c r="AI243" s="12" t="e">
        <v>#N/A</v>
      </c>
      <c r="AJ243">
        <v>0</v>
      </c>
      <c r="AK243">
        <v>0</v>
      </c>
    </row>
    <row r="244" spans="1:37" ht="15.75" x14ac:dyDescent="0.25">
      <c r="A244" s="4">
        <v>243</v>
      </c>
      <c r="B244" s="5" t="s">
        <v>238</v>
      </c>
      <c r="C244" s="5" t="s">
        <v>134</v>
      </c>
      <c r="D244" s="5" t="s">
        <v>135</v>
      </c>
      <c r="E244" s="31">
        <v>30318</v>
      </c>
      <c r="F244" s="4" t="s">
        <v>240</v>
      </c>
      <c r="G244" s="6">
        <v>930</v>
      </c>
      <c r="H244" s="6">
        <v>930</v>
      </c>
      <c r="I244" s="6">
        <v>930</v>
      </c>
      <c r="J244" s="6">
        <v>2790</v>
      </c>
      <c r="K244" s="6">
        <v>930</v>
      </c>
      <c r="L244" s="6">
        <v>930</v>
      </c>
      <c r="M244" s="6">
        <v>930</v>
      </c>
      <c r="N244" s="6">
        <v>2790</v>
      </c>
      <c r="O244" s="6">
        <v>930</v>
      </c>
      <c r="P244" s="6">
        <v>930</v>
      </c>
      <c r="Q244" s="6">
        <v>930</v>
      </c>
      <c r="R244" s="6">
        <v>2790</v>
      </c>
      <c r="S244" s="6">
        <v>930</v>
      </c>
      <c r="T244" s="6">
        <v>930</v>
      </c>
      <c r="U244" s="6">
        <v>930</v>
      </c>
      <c r="V244" s="6">
        <v>2790</v>
      </c>
      <c r="W244" s="6">
        <v>930</v>
      </c>
      <c r="X244" s="6">
        <v>930</v>
      </c>
      <c r="Y244" s="6">
        <v>930</v>
      </c>
      <c r="Z244" s="6">
        <v>2790</v>
      </c>
      <c r="AA244" s="4">
        <v>2790</v>
      </c>
      <c r="AB244" s="25">
        <v>4650</v>
      </c>
      <c r="AC244" s="25">
        <v>4650</v>
      </c>
      <c r="AD244" s="25">
        <v>4650</v>
      </c>
      <c r="AE244">
        <v>25110</v>
      </c>
      <c r="AF244" t="s">
        <v>198</v>
      </c>
      <c r="AG244" t="s">
        <v>198</v>
      </c>
      <c r="AH244" s="33">
        <v>0.39876510144799282</v>
      </c>
      <c r="AI244" s="12">
        <v>0</v>
      </c>
      <c r="AJ244">
        <v>0</v>
      </c>
      <c r="AK244">
        <v>0</v>
      </c>
    </row>
    <row r="245" spans="1:37" ht="15.75" x14ac:dyDescent="0.25">
      <c r="A245" s="4">
        <v>244</v>
      </c>
      <c r="B245" s="5" t="s">
        <v>238</v>
      </c>
      <c r="C245" s="5" t="s">
        <v>134</v>
      </c>
      <c r="D245" s="5" t="s">
        <v>135</v>
      </c>
      <c r="E245" s="31">
        <v>7996</v>
      </c>
      <c r="F245" s="4" t="s">
        <v>240</v>
      </c>
      <c r="G245" s="6">
        <v>930</v>
      </c>
      <c r="H245" s="6">
        <v>930</v>
      </c>
      <c r="I245" s="6">
        <v>930</v>
      </c>
      <c r="J245" s="6">
        <v>2790</v>
      </c>
      <c r="K245" s="6">
        <v>930</v>
      </c>
      <c r="L245" s="6">
        <v>930</v>
      </c>
      <c r="M245" s="6">
        <v>930</v>
      </c>
      <c r="N245" s="6">
        <v>2790</v>
      </c>
      <c r="O245" s="6">
        <v>930</v>
      </c>
      <c r="P245" s="6">
        <v>930</v>
      </c>
      <c r="Q245" s="6">
        <v>930</v>
      </c>
      <c r="R245" s="6">
        <v>2790</v>
      </c>
      <c r="S245" s="6">
        <v>930</v>
      </c>
      <c r="T245" s="6">
        <v>930</v>
      </c>
      <c r="U245" s="6">
        <v>930</v>
      </c>
      <c r="V245" s="6">
        <v>2790</v>
      </c>
      <c r="W245" s="6">
        <v>929</v>
      </c>
      <c r="X245" s="6">
        <v>930</v>
      </c>
      <c r="Y245" s="6">
        <v>930</v>
      </c>
      <c r="Z245" s="6">
        <v>2789</v>
      </c>
      <c r="AA245" s="4">
        <v>2790</v>
      </c>
      <c r="AB245" s="25">
        <v>4649</v>
      </c>
      <c r="AC245" s="25">
        <v>4403</v>
      </c>
      <c r="AD245" s="25">
        <v>4650</v>
      </c>
      <c r="AE245">
        <v>25109</v>
      </c>
      <c r="AF245" t="s">
        <v>199</v>
      </c>
      <c r="AG245" t="s">
        <v>199</v>
      </c>
      <c r="AH245" s="33">
        <v>0.25482643798276683</v>
      </c>
      <c r="AI245" s="12" t="e">
        <v>#N/A</v>
      </c>
      <c r="AJ245">
        <v>0</v>
      </c>
      <c r="AK245">
        <v>0</v>
      </c>
    </row>
    <row r="246" spans="1:37" ht="15.75" x14ac:dyDescent="0.25">
      <c r="A246" s="4">
        <v>245</v>
      </c>
      <c r="B246" s="5" t="s">
        <v>238</v>
      </c>
      <c r="C246" s="5" t="s">
        <v>134</v>
      </c>
      <c r="D246" s="5" t="s">
        <v>136</v>
      </c>
      <c r="E246" s="31">
        <v>2033</v>
      </c>
      <c r="F246" s="4" t="s">
        <v>240</v>
      </c>
      <c r="G246" s="6">
        <v>684</v>
      </c>
      <c r="H246" s="6">
        <v>683</v>
      </c>
      <c r="I246" s="6">
        <v>683</v>
      </c>
      <c r="J246" s="6">
        <v>2050</v>
      </c>
      <c r="K246" s="6">
        <v>683</v>
      </c>
      <c r="L246" s="6">
        <v>683</v>
      </c>
      <c r="M246" s="6">
        <v>683</v>
      </c>
      <c r="N246" s="6">
        <v>2049</v>
      </c>
      <c r="O246" s="6">
        <v>683</v>
      </c>
      <c r="P246" s="6">
        <v>683</v>
      </c>
      <c r="Q246" s="6">
        <v>683</v>
      </c>
      <c r="R246" s="6">
        <v>2049</v>
      </c>
      <c r="S246" s="6">
        <v>683</v>
      </c>
      <c r="T246" s="6">
        <v>683</v>
      </c>
      <c r="U246" s="6">
        <v>683</v>
      </c>
      <c r="V246" s="6">
        <v>2049</v>
      </c>
      <c r="W246" s="6">
        <v>683</v>
      </c>
      <c r="X246" s="6">
        <v>683</v>
      </c>
      <c r="Y246" s="6">
        <v>683</v>
      </c>
      <c r="Z246" s="6">
        <v>2049</v>
      </c>
      <c r="AA246" s="4">
        <v>2050</v>
      </c>
      <c r="AB246" s="25">
        <v>3415</v>
      </c>
      <c r="AC246" s="25">
        <v>2883</v>
      </c>
      <c r="AD246" s="25">
        <v>3415</v>
      </c>
      <c r="AE246">
        <v>18443</v>
      </c>
      <c r="AF246" t="s">
        <v>198</v>
      </c>
      <c r="AG246" t="s">
        <v>198</v>
      </c>
      <c r="AH246" s="33">
        <v>0.86346282344237257</v>
      </c>
      <c r="AI246" s="12">
        <v>7.5249981753156697E-2</v>
      </c>
      <c r="AJ246">
        <v>0</v>
      </c>
      <c r="AK246">
        <v>0</v>
      </c>
    </row>
    <row r="247" spans="1:37" ht="15.75" x14ac:dyDescent="0.25">
      <c r="A247" s="4">
        <v>246</v>
      </c>
      <c r="B247" s="5" t="s">
        <v>238</v>
      </c>
      <c r="C247" s="5" t="s">
        <v>134</v>
      </c>
      <c r="D247" s="5" t="s">
        <v>137</v>
      </c>
      <c r="E247" s="31">
        <v>8027</v>
      </c>
      <c r="F247" s="4" t="s">
        <v>241</v>
      </c>
      <c r="G247" s="6">
        <v>151</v>
      </c>
      <c r="H247" s="6">
        <v>151</v>
      </c>
      <c r="I247" s="6">
        <v>151</v>
      </c>
      <c r="J247" s="6">
        <v>453</v>
      </c>
      <c r="K247" s="6">
        <v>151</v>
      </c>
      <c r="L247" s="6">
        <v>151</v>
      </c>
      <c r="M247" s="6">
        <v>151</v>
      </c>
      <c r="N247" s="6">
        <v>453</v>
      </c>
      <c r="O247" s="6">
        <v>151</v>
      </c>
      <c r="P247" s="6">
        <v>151</v>
      </c>
      <c r="Q247" s="6">
        <v>151</v>
      </c>
      <c r="R247" s="6">
        <v>453</v>
      </c>
      <c r="S247" s="6">
        <v>151</v>
      </c>
      <c r="T247" s="6">
        <v>151</v>
      </c>
      <c r="U247" s="6">
        <v>151</v>
      </c>
      <c r="V247" s="6">
        <v>453</v>
      </c>
      <c r="W247" s="6">
        <v>151</v>
      </c>
      <c r="X247" s="6">
        <v>151</v>
      </c>
      <c r="Y247" s="6">
        <v>151</v>
      </c>
      <c r="Z247" s="6">
        <v>453</v>
      </c>
      <c r="AA247" s="4">
        <v>453</v>
      </c>
      <c r="AB247" s="25">
        <v>755</v>
      </c>
      <c r="AC247" s="25">
        <v>837</v>
      </c>
      <c r="AD247" s="25">
        <v>755</v>
      </c>
      <c r="AE247">
        <v>4077</v>
      </c>
      <c r="AF247" t="s">
        <v>198</v>
      </c>
      <c r="AG247" t="s">
        <v>199</v>
      </c>
      <c r="AH247" s="33">
        <v>0.67309144796789067</v>
      </c>
      <c r="AI247" s="12">
        <v>1.713120859304559E-2</v>
      </c>
      <c r="AJ247">
        <v>0</v>
      </c>
      <c r="AK247">
        <v>0</v>
      </c>
    </row>
    <row r="248" spans="1:37" ht="15.75" x14ac:dyDescent="0.25">
      <c r="A248" s="4">
        <v>247</v>
      </c>
      <c r="B248" s="5" t="s">
        <v>238</v>
      </c>
      <c r="C248" s="5" t="s">
        <v>134</v>
      </c>
      <c r="D248" s="5" t="s">
        <v>138</v>
      </c>
      <c r="E248" s="31">
        <v>9070</v>
      </c>
      <c r="F248" s="4" t="s">
        <v>240</v>
      </c>
      <c r="G248" s="6">
        <v>233</v>
      </c>
      <c r="H248" s="6">
        <v>233</v>
      </c>
      <c r="I248" s="6">
        <v>233</v>
      </c>
      <c r="J248" s="6">
        <v>699</v>
      </c>
      <c r="K248" s="6">
        <v>233</v>
      </c>
      <c r="L248" s="6">
        <v>233</v>
      </c>
      <c r="M248" s="6">
        <v>233</v>
      </c>
      <c r="N248" s="6">
        <v>699</v>
      </c>
      <c r="O248" s="6">
        <v>233</v>
      </c>
      <c r="P248" s="6">
        <v>233</v>
      </c>
      <c r="Q248" s="6">
        <v>233</v>
      </c>
      <c r="R248" s="6">
        <v>699</v>
      </c>
      <c r="S248" s="6">
        <v>233</v>
      </c>
      <c r="T248" s="6">
        <v>233</v>
      </c>
      <c r="U248" s="6">
        <v>233</v>
      </c>
      <c r="V248" s="6">
        <v>699</v>
      </c>
      <c r="W248" s="6">
        <v>233</v>
      </c>
      <c r="X248" s="6">
        <v>233</v>
      </c>
      <c r="Y248" s="6">
        <v>233</v>
      </c>
      <c r="Z248" s="6">
        <v>699</v>
      </c>
      <c r="AA248" s="4">
        <v>699</v>
      </c>
      <c r="AB248" s="25">
        <v>1165</v>
      </c>
      <c r="AC248" s="25">
        <v>1157</v>
      </c>
      <c r="AD248" s="25">
        <v>1165</v>
      </c>
      <c r="AE248">
        <v>6291</v>
      </c>
      <c r="AF248" t="s">
        <v>198</v>
      </c>
      <c r="AG248" t="s">
        <v>198</v>
      </c>
      <c r="AH248" s="33">
        <v>0.30954966938334783</v>
      </c>
      <c r="AI248" s="12">
        <v>0</v>
      </c>
      <c r="AJ248">
        <v>0</v>
      </c>
      <c r="AK248">
        <v>0</v>
      </c>
    </row>
    <row r="249" spans="1:37" ht="15.75" x14ac:dyDescent="0.25">
      <c r="A249" s="4">
        <v>248</v>
      </c>
      <c r="B249" s="5" t="s">
        <v>238</v>
      </c>
      <c r="C249" s="5" t="s">
        <v>134</v>
      </c>
      <c r="D249" s="5" t="s">
        <v>138</v>
      </c>
      <c r="E249" s="31">
        <v>35626</v>
      </c>
      <c r="F249" s="4" t="s">
        <v>241</v>
      </c>
      <c r="G249" s="6">
        <v>225</v>
      </c>
      <c r="H249" s="6">
        <v>225</v>
      </c>
      <c r="I249" s="6">
        <v>225</v>
      </c>
      <c r="J249" s="6">
        <v>675</v>
      </c>
      <c r="K249" s="6">
        <v>225</v>
      </c>
      <c r="L249" s="6">
        <v>225</v>
      </c>
      <c r="M249" s="6">
        <v>225</v>
      </c>
      <c r="N249" s="6">
        <v>675</v>
      </c>
      <c r="O249" s="6">
        <v>225</v>
      </c>
      <c r="P249" s="6">
        <v>225</v>
      </c>
      <c r="Q249" s="6">
        <v>225</v>
      </c>
      <c r="R249" s="6">
        <v>675</v>
      </c>
      <c r="S249" s="6">
        <v>225</v>
      </c>
      <c r="T249" s="6">
        <v>225</v>
      </c>
      <c r="U249" s="6">
        <v>225</v>
      </c>
      <c r="V249" s="6">
        <v>675</v>
      </c>
      <c r="W249" s="6">
        <v>225</v>
      </c>
      <c r="X249" s="6">
        <v>225</v>
      </c>
      <c r="Y249" s="6">
        <v>225</v>
      </c>
      <c r="Z249" s="6">
        <v>675</v>
      </c>
      <c r="AA249" s="4">
        <v>675</v>
      </c>
      <c r="AB249" s="25">
        <v>1125</v>
      </c>
      <c r="AC249" s="25">
        <v>978</v>
      </c>
      <c r="AD249" s="25">
        <v>1125</v>
      </c>
      <c r="AE249">
        <v>6075</v>
      </c>
      <c r="AF249" t="s">
        <v>198</v>
      </c>
      <c r="AG249" t="s">
        <v>199</v>
      </c>
      <c r="AH249" s="33">
        <v>0.18365801630942347</v>
      </c>
      <c r="AI249" s="12" t="e">
        <v>#N/A</v>
      </c>
      <c r="AJ249">
        <v>0</v>
      </c>
      <c r="AK249">
        <v>0</v>
      </c>
    </row>
    <row r="250" spans="1:37" ht="15.75" x14ac:dyDescent="0.25">
      <c r="A250" s="4">
        <v>249</v>
      </c>
      <c r="B250" s="29" t="s">
        <v>244</v>
      </c>
      <c r="C250" s="5" t="s">
        <v>46</v>
      </c>
      <c r="D250" s="5" t="s">
        <v>47</v>
      </c>
      <c r="E250" s="31">
        <v>33430</v>
      </c>
      <c r="F250" s="4" t="s">
        <v>241</v>
      </c>
      <c r="G250" s="6">
        <v>79</v>
      </c>
      <c r="H250" s="6">
        <v>78</v>
      </c>
      <c r="I250" s="6">
        <v>78</v>
      </c>
      <c r="J250" s="6">
        <v>235</v>
      </c>
      <c r="K250" s="6">
        <v>78</v>
      </c>
      <c r="L250" s="6">
        <v>78</v>
      </c>
      <c r="M250" s="6">
        <v>78</v>
      </c>
      <c r="N250" s="6">
        <v>234</v>
      </c>
      <c r="O250" s="6">
        <v>78</v>
      </c>
      <c r="P250" s="6">
        <v>78</v>
      </c>
      <c r="Q250" s="6">
        <v>78</v>
      </c>
      <c r="R250" s="6">
        <v>234</v>
      </c>
      <c r="S250" s="6">
        <v>78</v>
      </c>
      <c r="T250" s="6">
        <v>78</v>
      </c>
      <c r="U250" s="6">
        <v>78</v>
      </c>
      <c r="V250" s="6">
        <v>234</v>
      </c>
      <c r="W250" s="6">
        <v>0</v>
      </c>
      <c r="X250" s="6">
        <v>0</v>
      </c>
      <c r="Y250" s="6">
        <v>0</v>
      </c>
      <c r="Z250" s="6">
        <v>0</v>
      </c>
      <c r="AA250" s="4">
        <v>235</v>
      </c>
      <c r="AB250" s="25">
        <v>312</v>
      </c>
      <c r="AC250" s="25">
        <v>697</v>
      </c>
      <c r="AD250" s="25">
        <v>312</v>
      </c>
      <c r="AE250">
        <v>1874</v>
      </c>
      <c r="AF250" t="s">
        <v>198</v>
      </c>
      <c r="AG250" t="s">
        <v>198</v>
      </c>
      <c r="AH250" s="33">
        <v>2.541873277543838E-2</v>
      </c>
      <c r="AI250" s="12">
        <v>2.690909090909091E-2</v>
      </c>
      <c r="AJ250">
        <v>0</v>
      </c>
      <c r="AK250">
        <v>0</v>
      </c>
    </row>
    <row r="251" spans="1:37" ht="15.75" x14ac:dyDescent="0.25">
      <c r="A251" s="4">
        <v>250</v>
      </c>
      <c r="B251" s="5" t="s">
        <v>237</v>
      </c>
      <c r="C251" s="5" t="s">
        <v>59</v>
      </c>
      <c r="D251" s="5" t="s">
        <v>60</v>
      </c>
      <c r="E251" s="31">
        <v>7954</v>
      </c>
      <c r="F251" s="4" t="s">
        <v>240</v>
      </c>
      <c r="G251" s="6">
        <v>463</v>
      </c>
      <c r="H251" s="6">
        <v>463</v>
      </c>
      <c r="I251" s="6">
        <v>463</v>
      </c>
      <c r="J251" s="6">
        <v>1389</v>
      </c>
      <c r="K251" s="6">
        <v>463</v>
      </c>
      <c r="L251" s="6">
        <v>463</v>
      </c>
      <c r="M251" s="6">
        <v>463</v>
      </c>
      <c r="N251" s="6">
        <v>1389</v>
      </c>
      <c r="O251" s="6">
        <v>463</v>
      </c>
      <c r="P251" s="6">
        <v>463</v>
      </c>
      <c r="Q251" s="6">
        <v>463</v>
      </c>
      <c r="R251" s="6">
        <v>1389</v>
      </c>
      <c r="S251" s="6">
        <v>463</v>
      </c>
      <c r="T251" s="6">
        <v>463</v>
      </c>
      <c r="U251" s="6">
        <v>463</v>
      </c>
      <c r="V251" s="6">
        <v>1389</v>
      </c>
      <c r="W251" s="6">
        <v>462</v>
      </c>
      <c r="X251" s="6">
        <v>463</v>
      </c>
      <c r="Y251" s="6">
        <v>463</v>
      </c>
      <c r="Z251" s="6">
        <v>1388</v>
      </c>
      <c r="AA251" s="4">
        <v>1389</v>
      </c>
      <c r="AB251" s="25">
        <v>2314</v>
      </c>
      <c r="AC251" s="25">
        <v>2280</v>
      </c>
      <c r="AD251" s="25">
        <v>2315</v>
      </c>
      <c r="AE251">
        <v>12500</v>
      </c>
      <c r="AF251" t="s">
        <v>198</v>
      </c>
      <c r="AG251" t="s">
        <v>198</v>
      </c>
      <c r="AH251" s="33">
        <v>0.99477444097070655</v>
      </c>
      <c r="AI251" s="12">
        <v>3.3584049818689697E-2</v>
      </c>
      <c r="AJ251">
        <v>1</v>
      </c>
      <c r="AK251">
        <v>0</v>
      </c>
    </row>
    <row r="252" spans="1:37" ht="15.75" x14ac:dyDescent="0.25">
      <c r="A252" s="4">
        <v>251</v>
      </c>
      <c r="B252" s="5" t="s">
        <v>237</v>
      </c>
      <c r="C252" s="5" t="s">
        <v>59</v>
      </c>
      <c r="D252" s="5" t="s">
        <v>60</v>
      </c>
      <c r="E252" s="31">
        <v>38141</v>
      </c>
      <c r="F252" s="4" t="s">
        <v>241</v>
      </c>
      <c r="G252" s="6">
        <v>428</v>
      </c>
      <c r="H252" s="6">
        <v>428</v>
      </c>
      <c r="I252" s="6">
        <v>428</v>
      </c>
      <c r="J252" s="6">
        <v>1284</v>
      </c>
      <c r="K252" s="6">
        <v>428</v>
      </c>
      <c r="L252" s="6">
        <v>428</v>
      </c>
      <c r="M252" s="6">
        <v>428</v>
      </c>
      <c r="N252" s="6">
        <v>1284</v>
      </c>
      <c r="O252" s="6">
        <v>428</v>
      </c>
      <c r="P252" s="6">
        <v>428</v>
      </c>
      <c r="Q252" s="6">
        <v>428</v>
      </c>
      <c r="R252" s="6">
        <v>1284</v>
      </c>
      <c r="S252" s="6">
        <v>428</v>
      </c>
      <c r="T252" s="6">
        <v>428</v>
      </c>
      <c r="U252" s="6">
        <v>428</v>
      </c>
      <c r="V252" s="6">
        <v>1284</v>
      </c>
      <c r="W252" s="6">
        <v>428</v>
      </c>
      <c r="X252" s="6">
        <v>428</v>
      </c>
      <c r="Y252" s="6">
        <v>428</v>
      </c>
      <c r="Z252" s="6">
        <v>1284</v>
      </c>
      <c r="AA252" s="4">
        <v>1284</v>
      </c>
      <c r="AB252" s="25">
        <v>2140</v>
      </c>
      <c r="AC252" s="25">
        <v>2176</v>
      </c>
      <c r="AD252" s="25">
        <v>2140</v>
      </c>
      <c r="AE252">
        <v>11556</v>
      </c>
      <c r="AF252" t="s">
        <v>198</v>
      </c>
      <c r="AG252" t="s">
        <v>198</v>
      </c>
      <c r="AH252" s="33">
        <v>0.98579576342424446</v>
      </c>
      <c r="AI252" s="12">
        <v>3.981717862142798E-2</v>
      </c>
      <c r="AJ252">
        <v>1</v>
      </c>
      <c r="AK252">
        <v>0</v>
      </c>
    </row>
    <row r="253" spans="1:37" ht="15.75" x14ac:dyDescent="0.25">
      <c r="A253" s="4">
        <v>252</v>
      </c>
      <c r="B253" s="5" t="s">
        <v>237</v>
      </c>
      <c r="C253" s="5" t="s">
        <v>59</v>
      </c>
      <c r="D253" s="5" t="s">
        <v>61</v>
      </c>
      <c r="E253" s="31">
        <v>8580</v>
      </c>
      <c r="F253" s="4" t="s">
        <v>240</v>
      </c>
      <c r="G253" s="6">
        <v>464</v>
      </c>
      <c r="H253" s="6">
        <v>464</v>
      </c>
      <c r="I253" s="6">
        <v>464</v>
      </c>
      <c r="J253" s="6">
        <v>1392</v>
      </c>
      <c r="K253" s="6">
        <v>464</v>
      </c>
      <c r="L253" s="6">
        <v>464</v>
      </c>
      <c r="M253" s="6">
        <v>464</v>
      </c>
      <c r="N253" s="6">
        <v>1392</v>
      </c>
      <c r="O253" s="6">
        <v>464</v>
      </c>
      <c r="P253" s="6">
        <v>464</v>
      </c>
      <c r="Q253" s="6">
        <v>464</v>
      </c>
      <c r="R253" s="6">
        <v>1392</v>
      </c>
      <c r="S253" s="6">
        <v>464</v>
      </c>
      <c r="T253" s="6">
        <v>464</v>
      </c>
      <c r="U253" s="6">
        <v>464</v>
      </c>
      <c r="V253" s="6">
        <v>1392</v>
      </c>
      <c r="W253" s="6">
        <v>464</v>
      </c>
      <c r="X253" s="6">
        <v>464</v>
      </c>
      <c r="Y253" s="6">
        <v>464</v>
      </c>
      <c r="Z253" s="6">
        <v>1392</v>
      </c>
      <c r="AA253" s="4">
        <v>1392</v>
      </c>
      <c r="AB253" s="25">
        <v>2320</v>
      </c>
      <c r="AC253" s="25">
        <v>3336</v>
      </c>
      <c r="AD253" s="25">
        <v>2320</v>
      </c>
      <c r="AE253">
        <v>12528</v>
      </c>
      <c r="AF253" t="s">
        <v>198</v>
      </c>
      <c r="AG253" t="s">
        <v>198</v>
      </c>
      <c r="AH253" s="33">
        <v>0.99158312883228861</v>
      </c>
      <c r="AI253" s="12">
        <v>0</v>
      </c>
      <c r="AJ253">
        <v>0</v>
      </c>
      <c r="AK253">
        <v>0</v>
      </c>
    </row>
    <row r="254" spans="1:37" ht="15.75" x14ac:dyDescent="0.25">
      <c r="A254" s="4">
        <v>253</v>
      </c>
      <c r="B254" s="5" t="s">
        <v>237</v>
      </c>
      <c r="C254" s="5" t="s">
        <v>59</v>
      </c>
      <c r="D254" s="5" t="s">
        <v>62</v>
      </c>
      <c r="E254" s="31">
        <v>9105</v>
      </c>
      <c r="F254" s="4" t="s">
        <v>242</v>
      </c>
      <c r="G254" s="6">
        <v>1480</v>
      </c>
      <c r="H254" s="6">
        <v>1480</v>
      </c>
      <c r="I254" s="6">
        <v>1480</v>
      </c>
      <c r="J254" s="6">
        <v>4440</v>
      </c>
      <c r="K254" s="6">
        <v>1480</v>
      </c>
      <c r="L254" s="6">
        <v>1480</v>
      </c>
      <c r="M254" s="6">
        <v>1480</v>
      </c>
      <c r="N254" s="6">
        <v>4440</v>
      </c>
      <c r="O254" s="6">
        <v>1480</v>
      </c>
      <c r="P254" s="6">
        <v>1480</v>
      </c>
      <c r="Q254" s="6">
        <v>1480</v>
      </c>
      <c r="R254" s="6">
        <v>4440</v>
      </c>
      <c r="S254" s="6">
        <v>1480</v>
      </c>
      <c r="T254" s="6">
        <v>1480</v>
      </c>
      <c r="U254" s="6">
        <v>1480</v>
      </c>
      <c r="V254" s="6">
        <v>4440</v>
      </c>
      <c r="W254" s="6">
        <v>1480</v>
      </c>
      <c r="X254" s="6">
        <v>1480</v>
      </c>
      <c r="Y254" s="6">
        <v>1480</v>
      </c>
      <c r="Z254" s="6">
        <v>4440</v>
      </c>
      <c r="AA254" s="4">
        <v>4440</v>
      </c>
      <c r="AB254" s="25">
        <v>7400</v>
      </c>
      <c r="AC254" s="25">
        <v>7575</v>
      </c>
      <c r="AD254" s="25">
        <v>7400</v>
      </c>
      <c r="AE254">
        <v>39960</v>
      </c>
      <c r="AF254" t="s">
        <v>198</v>
      </c>
      <c r="AG254" t="s">
        <v>198</v>
      </c>
      <c r="AH254" s="33">
        <v>0.59487841829628363</v>
      </c>
      <c r="AI254" s="12">
        <v>2.2343732013353285E-2</v>
      </c>
      <c r="AJ254">
        <v>0</v>
      </c>
      <c r="AK254">
        <v>0</v>
      </c>
    </row>
    <row r="255" spans="1:37" ht="15.75" x14ac:dyDescent="0.25">
      <c r="A255" s="4">
        <v>254</v>
      </c>
      <c r="B255" s="5" t="s">
        <v>237</v>
      </c>
      <c r="C255" s="5" t="s">
        <v>59</v>
      </c>
      <c r="D255" s="5" t="s">
        <v>62</v>
      </c>
      <c r="E255" s="31">
        <v>8031</v>
      </c>
      <c r="F255" s="4" t="s">
        <v>242</v>
      </c>
      <c r="G255" s="6">
        <v>1655</v>
      </c>
      <c r="H255" s="6">
        <v>1655</v>
      </c>
      <c r="I255" s="6">
        <v>1655</v>
      </c>
      <c r="J255" s="6">
        <v>4965</v>
      </c>
      <c r="K255" s="6">
        <v>1655</v>
      </c>
      <c r="L255" s="6">
        <v>1655</v>
      </c>
      <c r="M255" s="6">
        <v>1655</v>
      </c>
      <c r="N255" s="6">
        <v>4965</v>
      </c>
      <c r="O255" s="6">
        <v>1655</v>
      </c>
      <c r="P255" s="6">
        <v>1655</v>
      </c>
      <c r="Q255" s="6">
        <v>1655</v>
      </c>
      <c r="R255" s="6">
        <v>4965</v>
      </c>
      <c r="S255" s="6">
        <v>1655</v>
      </c>
      <c r="T255" s="6">
        <v>1655</v>
      </c>
      <c r="U255" s="6">
        <v>1655</v>
      </c>
      <c r="V255" s="6">
        <v>4965</v>
      </c>
      <c r="W255" s="6">
        <v>1654</v>
      </c>
      <c r="X255" s="6">
        <v>1655</v>
      </c>
      <c r="Y255" s="6">
        <v>1655</v>
      </c>
      <c r="Z255" s="6">
        <v>4964</v>
      </c>
      <c r="AA255" s="4">
        <v>4965</v>
      </c>
      <c r="AB255" s="25">
        <v>8274</v>
      </c>
      <c r="AC255" s="25">
        <v>6843</v>
      </c>
      <c r="AD255" s="25">
        <v>8275</v>
      </c>
      <c r="AE255">
        <v>44684</v>
      </c>
      <c r="AF255" t="s">
        <v>199</v>
      </c>
      <c r="AG255" t="s">
        <v>198</v>
      </c>
      <c r="AH255" s="33">
        <v>0.59092332334221453</v>
      </c>
      <c r="AI255" s="12">
        <v>3.1915932733162941E-2</v>
      </c>
      <c r="AJ255">
        <v>0</v>
      </c>
      <c r="AK255">
        <v>0</v>
      </c>
    </row>
    <row r="256" spans="1:37" ht="15.75" x14ac:dyDescent="0.25">
      <c r="A256" s="4">
        <v>255</v>
      </c>
      <c r="B256" s="5" t="s">
        <v>237</v>
      </c>
      <c r="C256" s="5" t="s">
        <v>59</v>
      </c>
      <c r="D256" s="5" t="s">
        <v>63</v>
      </c>
      <c r="E256" s="31">
        <v>7964</v>
      </c>
      <c r="F256" s="4" t="s">
        <v>241</v>
      </c>
      <c r="G256" s="6">
        <v>223</v>
      </c>
      <c r="H256" s="6">
        <v>223</v>
      </c>
      <c r="I256" s="6">
        <v>223</v>
      </c>
      <c r="J256" s="6">
        <v>669</v>
      </c>
      <c r="K256" s="6">
        <v>223</v>
      </c>
      <c r="L256" s="6">
        <v>223</v>
      </c>
      <c r="M256" s="6">
        <v>223</v>
      </c>
      <c r="N256" s="6">
        <v>669</v>
      </c>
      <c r="O256" s="6">
        <v>223</v>
      </c>
      <c r="P256" s="6">
        <v>223</v>
      </c>
      <c r="Q256" s="6">
        <v>223</v>
      </c>
      <c r="R256" s="6">
        <v>669</v>
      </c>
      <c r="S256" s="6">
        <v>223</v>
      </c>
      <c r="T256" s="6">
        <v>223</v>
      </c>
      <c r="U256" s="6">
        <v>223</v>
      </c>
      <c r="V256" s="6">
        <v>669</v>
      </c>
      <c r="W256" s="6">
        <v>223</v>
      </c>
      <c r="X256" s="6">
        <v>223</v>
      </c>
      <c r="Y256" s="6">
        <v>223</v>
      </c>
      <c r="Z256" s="6">
        <v>669</v>
      </c>
      <c r="AA256" s="4">
        <v>669</v>
      </c>
      <c r="AB256" s="25">
        <v>1115</v>
      </c>
      <c r="AC256" s="25">
        <v>1317</v>
      </c>
      <c r="AD256" s="25">
        <v>1115</v>
      </c>
      <c r="AE256">
        <v>6021</v>
      </c>
      <c r="AF256" t="s">
        <v>199</v>
      </c>
      <c r="AG256" t="s">
        <v>198</v>
      </c>
      <c r="AH256" s="33">
        <v>0.32022560291747026</v>
      </c>
      <c r="AI256" s="12">
        <v>4.5871382138987775E-2</v>
      </c>
      <c r="AJ256">
        <v>0</v>
      </c>
      <c r="AK256">
        <v>0</v>
      </c>
    </row>
    <row r="257" spans="1:37" ht="15.75" x14ac:dyDescent="0.25">
      <c r="A257" s="4">
        <v>256</v>
      </c>
      <c r="B257" s="5" t="s">
        <v>237</v>
      </c>
      <c r="C257" s="5" t="s">
        <v>59</v>
      </c>
      <c r="D257" s="5" t="s">
        <v>63</v>
      </c>
      <c r="E257" s="31">
        <v>9417</v>
      </c>
      <c r="F257" s="4" t="s">
        <v>241</v>
      </c>
      <c r="G257" s="6">
        <v>425</v>
      </c>
      <c r="H257" s="6">
        <v>425</v>
      </c>
      <c r="I257" s="6">
        <v>425</v>
      </c>
      <c r="J257" s="6">
        <v>1275</v>
      </c>
      <c r="K257" s="6">
        <v>425</v>
      </c>
      <c r="L257" s="6">
        <v>425</v>
      </c>
      <c r="M257" s="6">
        <v>425</v>
      </c>
      <c r="N257" s="6">
        <v>1275</v>
      </c>
      <c r="O257" s="6">
        <v>425</v>
      </c>
      <c r="P257" s="6">
        <v>425</v>
      </c>
      <c r="Q257" s="6">
        <v>425</v>
      </c>
      <c r="R257" s="6">
        <v>1275</v>
      </c>
      <c r="S257" s="6">
        <v>425</v>
      </c>
      <c r="T257" s="6">
        <v>425</v>
      </c>
      <c r="U257" s="6">
        <v>425</v>
      </c>
      <c r="V257" s="6">
        <v>1275</v>
      </c>
      <c r="W257" s="6">
        <v>425</v>
      </c>
      <c r="X257" s="6">
        <v>425</v>
      </c>
      <c r="Y257" s="6">
        <v>425</v>
      </c>
      <c r="Z257" s="6">
        <v>1275</v>
      </c>
      <c r="AA257" s="4">
        <v>1275</v>
      </c>
      <c r="AB257" s="25">
        <v>2125</v>
      </c>
      <c r="AC257" s="25">
        <v>2370</v>
      </c>
      <c r="AD257" s="25">
        <v>2125</v>
      </c>
      <c r="AE257">
        <v>11475</v>
      </c>
      <c r="AF257" t="s">
        <v>199</v>
      </c>
      <c r="AG257" t="s">
        <v>198</v>
      </c>
      <c r="AH257" s="33">
        <v>0.89790409725129172</v>
      </c>
      <c r="AI257" s="12">
        <v>1.9101716641113931E-2</v>
      </c>
      <c r="AJ257">
        <v>0</v>
      </c>
      <c r="AK257">
        <v>0</v>
      </c>
    </row>
    <row r="258" spans="1:37" ht="15.75" x14ac:dyDescent="0.25">
      <c r="A258" s="4">
        <v>257</v>
      </c>
      <c r="B258" s="5" t="s">
        <v>237</v>
      </c>
      <c r="C258" s="5" t="s">
        <v>59</v>
      </c>
      <c r="D258" s="5" t="s">
        <v>63</v>
      </c>
      <c r="E258" s="31">
        <v>8827</v>
      </c>
      <c r="F258" s="4" t="s">
        <v>240</v>
      </c>
      <c r="G258" s="6">
        <v>670</v>
      </c>
      <c r="H258" s="6">
        <v>670</v>
      </c>
      <c r="I258" s="6">
        <v>670</v>
      </c>
      <c r="J258" s="6">
        <v>2010</v>
      </c>
      <c r="K258" s="6">
        <v>670</v>
      </c>
      <c r="L258" s="6">
        <v>670</v>
      </c>
      <c r="M258" s="6">
        <v>670</v>
      </c>
      <c r="N258" s="6">
        <v>2010</v>
      </c>
      <c r="O258" s="6">
        <v>670</v>
      </c>
      <c r="P258" s="6">
        <v>670</v>
      </c>
      <c r="Q258" s="6">
        <v>670</v>
      </c>
      <c r="R258" s="6">
        <v>2010</v>
      </c>
      <c r="S258" s="6">
        <v>670</v>
      </c>
      <c r="T258" s="6">
        <v>670</v>
      </c>
      <c r="U258" s="6">
        <v>670</v>
      </c>
      <c r="V258" s="6">
        <v>2010</v>
      </c>
      <c r="W258" s="6">
        <v>670</v>
      </c>
      <c r="X258" s="6">
        <v>670</v>
      </c>
      <c r="Y258" s="6">
        <v>670</v>
      </c>
      <c r="Z258" s="6">
        <v>2010</v>
      </c>
      <c r="AA258" s="4">
        <v>2010</v>
      </c>
      <c r="AB258" s="25">
        <v>3350</v>
      </c>
      <c r="AC258" s="25">
        <v>2900</v>
      </c>
      <c r="AD258" s="25">
        <v>3350</v>
      </c>
      <c r="AE258">
        <v>18090</v>
      </c>
      <c r="AF258" t="s">
        <v>199</v>
      </c>
      <c r="AG258" t="s">
        <v>198</v>
      </c>
      <c r="AH258" s="33">
        <v>0.53540449268157275</v>
      </c>
      <c r="AI258" s="12">
        <v>2.8826871657754011E-2</v>
      </c>
      <c r="AJ258">
        <v>0</v>
      </c>
      <c r="AK258">
        <v>0</v>
      </c>
    </row>
    <row r="259" spans="1:37" ht="15.75" x14ac:dyDescent="0.25">
      <c r="A259" s="4">
        <v>258</v>
      </c>
      <c r="B259" s="5" t="s">
        <v>237</v>
      </c>
      <c r="C259" s="5" t="s">
        <v>59</v>
      </c>
      <c r="D259" s="5" t="s">
        <v>63</v>
      </c>
      <c r="E259" s="31">
        <v>9208</v>
      </c>
      <c r="F259" s="4" t="s">
        <v>240</v>
      </c>
      <c r="G259" s="6">
        <v>220</v>
      </c>
      <c r="H259" s="6">
        <v>220</v>
      </c>
      <c r="I259" s="6">
        <v>220</v>
      </c>
      <c r="J259" s="6">
        <v>660</v>
      </c>
      <c r="K259" s="6">
        <v>220</v>
      </c>
      <c r="L259" s="6">
        <v>220</v>
      </c>
      <c r="M259" s="6">
        <v>220</v>
      </c>
      <c r="N259" s="6">
        <v>660</v>
      </c>
      <c r="O259" s="6">
        <v>220</v>
      </c>
      <c r="P259" s="6">
        <v>220</v>
      </c>
      <c r="Q259" s="6">
        <v>220</v>
      </c>
      <c r="R259" s="6">
        <v>660</v>
      </c>
      <c r="S259" s="6">
        <v>220</v>
      </c>
      <c r="T259" s="6">
        <v>220</v>
      </c>
      <c r="U259" s="6">
        <v>220</v>
      </c>
      <c r="V259" s="6">
        <v>660</v>
      </c>
      <c r="W259" s="6">
        <v>220</v>
      </c>
      <c r="X259" s="6">
        <v>220</v>
      </c>
      <c r="Y259" s="6">
        <v>220</v>
      </c>
      <c r="Z259" s="6">
        <v>660</v>
      </c>
      <c r="AA259" s="4">
        <v>660</v>
      </c>
      <c r="AB259" s="25">
        <v>1100</v>
      </c>
      <c r="AC259" s="25">
        <v>1100</v>
      </c>
      <c r="AD259" s="25">
        <v>1100</v>
      </c>
      <c r="AE259">
        <v>5940</v>
      </c>
      <c r="AF259" t="s">
        <v>199</v>
      </c>
      <c r="AG259" t="s">
        <v>198</v>
      </c>
      <c r="AH259" s="33">
        <v>0.39295768029898592</v>
      </c>
      <c r="AI259" s="12">
        <v>2.4936987631991023E-2</v>
      </c>
      <c r="AJ259">
        <v>0</v>
      </c>
      <c r="AK259">
        <v>0</v>
      </c>
    </row>
    <row r="260" spans="1:37" ht="15.75" x14ac:dyDescent="0.25">
      <c r="A260" s="4">
        <v>259</v>
      </c>
      <c r="B260" s="5" t="s">
        <v>237</v>
      </c>
      <c r="C260" s="5" t="s">
        <v>59</v>
      </c>
      <c r="D260" s="5" t="s">
        <v>63</v>
      </c>
      <c r="E260" s="31">
        <v>25730</v>
      </c>
      <c r="F260" s="4" t="s">
        <v>240</v>
      </c>
      <c r="G260" s="6">
        <v>220</v>
      </c>
      <c r="H260" s="6">
        <v>220</v>
      </c>
      <c r="I260" s="6">
        <v>220</v>
      </c>
      <c r="J260" s="6">
        <v>660</v>
      </c>
      <c r="K260" s="6">
        <v>220</v>
      </c>
      <c r="L260" s="6">
        <v>220</v>
      </c>
      <c r="M260" s="6">
        <v>220</v>
      </c>
      <c r="N260" s="6">
        <v>660</v>
      </c>
      <c r="O260" s="6">
        <v>220</v>
      </c>
      <c r="P260" s="6">
        <v>220</v>
      </c>
      <c r="Q260" s="6">
        <v>220</v>
      </c>
      <c r="R260" s="6">
        <v>660</v>
      </c>
      <c r="S260" s="6">
        <v>220</v>
      </c>
      <c r="T260" s="6">
        <v>220</v>
      </c>
      <c r="U260" s="6">
        <v>220</v>
      </c>
      <c r="V260" s="6">
        <v>660</v>
      </c>
      <c r="W260" s="6">
        <v>220</v>
      </c>
      <c r="X260" s="6">
        <v>220</v>
      </c>
      <c r="Y260" s="6">
        <v>220</v>
      </c>
      <c r="Z260" s="6">
        <v>660</v>
      </c>
      <c r="AA260" s="4">
        <v>660</v>
      </c>
      <c r="AB260" s="25">
        <v>1100</v>
      </c>
      <c r="AC260" s="25">
        <v>1100</v>
      </c>
      <c r="AD260" s="25">
        <v>1100</v>
      </c>
      <c r="AE260">
        <v>5940</v>
      </c>
      <c r="AF260" t="s">
        <v>199</v>
      </c>
      <c r="AG260" t="s">
        <v>198</v>
      </c>
      <c r="AH260" s="33">
        <v>0.14708510390116469</v>
      </c>
      <c r="AI260" s="12">
        <v>5.1061579987199825E-2</v>
      </c>
      <c r="AJ260">
        <v>0</v>
      </c>
      <c r="AK260">
        <v>0</v>
      </c>
    </row>
    <row r="261" spans="1:37" ht="15.75" x14ac:dyDescent="0.25">
      <c r="A261" s="4">
        <v>260</v>
      </c>
      <c r="B261" s="5" t="s">
        <v>237</v>
      </c>
      <c r="C261" s="5" t="s">
        <v>59</v>
      </c>
      <c r="D261" s="5" t="s">
        <v>63</v>
      </c>
      <c r="E261" s="31">
        <v>8754</v>
      </c>
      <c r="F261" s="4" t="s">
        <v>240</v>
      </c>
      <c r="G261" s="6">
        <v>220</v>
      </c>
      <c r="H261" s="6">
        <v>220</v>
      </c>
      <c r="I261" s="6">
        <v>220</v>
      </c>
      <c r="J261" s="6">
        <v>660</v>
      </c>
      <c r="K261" s="6">
        <v>220</v>
      </c>
      <c r="L261" s="6">
        <v>220</v>
      </c>
      <c r="M261" s="6">
        <v>220</v>
      </c>
      <c r="N261" s="6">
        <v>660</v>
      </c>
      <c r="O261" s="6">
        <v>220</v>
      </c>
      <c r="P261" s="6">
        <v>220</v>
      </c>
      <c r="Q261" s="6">
        <v>220</v>
      </c>
      <c r="R261" s="6">
        <v>660</v>
      </c>
      <c r="S261" s="6">
        <v>220</v>
      </c>
      <c r="T261" s="6">
        <v>220</v>
      </c>
      <c r="U261" s="6">
        <v>220</v>
      </c>
      <c r="V261" s="6">
        <v>660</v>
      </c>
      <c r="W261" s="6">
        <v>220</v>
      </c>
      <c r="X261" s="6">
        <v>220</v>
      </c>
      <c r="Y261" s="6">
        <v>220</v>
      </c>
      <c r="Z261" s="6">
        <v>660</v>
      </c>
      <c r="AA261" s="4">
        <v>660</v>
      </c>
      <c r="AB261" s="25">
        <v>1100</v>
      </c>
      <c r="AC261" s="25">
        <v>1160</v>
      </c>
      <c r="AD261" s="25">
        <v>1100</v>
      </c>
      <c r="AE261">
        <v>5940</v>
      </c>
      <c r="AF261" t="s">
        <v>199</v>
      </c>
      <c r="AG261" t="s">
        <v>198</v>
      </c>
      <c r="AH261" s="33">
        <v>0.36154730071391816</v>
      </c>
      <c r="AI261" s="12">
        <v>2.980404777229493E-2</v>
      </c>
      <c r="AJ261">
        <v>0</v>
      </c>
      <c r="AK261">
        <v>0</v>
      </c>
    </row>
    <row r="262" spans="1:37" ht="15.75" x14ac:dyDescent="0.25">
      <c r="A262" s="4">
        <v>261</v>
      </c>
      <c r="B262" s="5" t="s">
        <v>237</v>
      </c>
      <c r="C262" s="5" t="s">
        <v>59</v>
      </c>
      <c r="D262" s="5" t="s">
        <v>63</v>
      </c>
      <c r="E262" s="31">
        <v>11398</v>
      </c>
      <c r="F262" s="4" t="s">
        <v>241</v>
      </c>
      <c r="G262" s="6">
        <v>282</v>
      </c>
      <c r="H262" s="6">
        <v>280</v>
      </c>
      <c r="I262" s="6">
        <v>280</v>
      </c>
      <c r="J262" s="6">
        <v>842</v>
      </c>
      <c r="K262" s="6">
        <v>280</v>
      </c>
      <c r="L262" s="6">
        <v>280</v>
      </c>
      <c r="M262" s="6">
        <v>280</v>
      </c>
      <c r="N262" s="6">
        <v>840</v>
      </c>
      <c r="O262" s="6">
        <v>280</v>
      </c>
      <c r="P262" s="6">
        <v>280</v>
      </c>
      <c r="Q262" s="6">
        <v>280</v>
      </c>
      <c r="R262" s="6">
        <v>840</v>
      </c>
      <c r="S262" s="6">
        <v>280</v>
      </c>
      <c r="T262" s="6">
        <v>280</v>
      </c>
      <c r="U262" s="6">
        <v>280</v>
      </c>
      <c r="V262" s="6">
        <v>840</v>
      </c>
      <c r="W262" s="6">
        <v>280</v>
      </c>
      <c r="X262" s="6">
        <v>280</v>
      </c>
      <c r="Y262" s="6">
        <v>280</v>
      </c>
      <c r="Z262" s="6">
        <v>840</v>
      </c>
      <c r="AA262" s="4">
        <v>842</v>
      </c>
      <c r="AB262" s="25">
        <v>1400</v>
      </c>
      <c r="AC262" s="25">
        <v>1570</v>
      </c>
      <c r="AD262" s="25">
        <v>1400</v>
      </c>
      <c r="AE262">
        <v>7564</v>
      </c>
      <c r="AF262" t="s">
        <v>199</v>
      </c>
      <c r="AG262" t="s">
        <v>198</v>
      </c>
      <c r="AH262" s="33">
        <v>0.30635374194660536</v>
      </c>
      <c r="AI262" s="12" t="e">
        <v>#N/A</v>
      </c>
      <c r="AJ262">
        <v>0</v>
      </c>
      <c r="AK262">
        <v>0</v>
      </c>
    </row>
    <row r="263" spans="1:37" ht="15.75" x14ac:dyDescent="0.25">
      <c r="A263" s="4">
        <v>262</v>
      </c>
      <c r="B263" s="29" t="s">
        <v>243</v>
      </c>
      <c r="C263" s="5" t="s">
        <v>59</v>
      </c>
      <c r="D263" s="5" t="s">
        <v>64</v>
      </c>
      <c r="E263" s="31">
        <v>7974</v>
      </c>
      <c r="F263" s="4" t="s">
        <v>240</v>
      </c>
      <c r="G263" s="6">
        <v>450</v>
      </c>
      <c r="H263" s="6">
        <v>450</v>
      </c>
      <c r="I263" s="6">
        <v>450</v>
      </c>
      <c r="J263" s="6">
        <v>1350</v>
      </c>
      <c r="K263" s="6">
        <v>450</v>
      </c>
      <c r="L263" s="6">
        <v>450</v>
      </c>
      <c r="M263" s="6">
        <v>450</v>
      </c>
      <c r="N263" s="6">
        <v>1350</v>
      </c>
      <c r="O263" s="6">
        <v>450</v>
      </c>
      <c r="P263" s="6">
        <v>450</v>
      </c>
      <c r="Q263" s="6">
        <v>450</v>
      </c>
      <c r="R263" s="6">
        <v>1350</v>
      </c>
      <c r="S263" s="6">
        <v>450</v>
      </c>
      <c r="T263" s="6">
        <v>450</v>
      </c>
      <c r="U263" s="6">
        <v>450</v>
      </c>
      <c r="V263" s="6">
        <v>1350</v>
      </c>
      <c r="W263" s="6">
        <v>450</v>
      </c>
      <c r="X263" s="6">
        <v>450</v>
      </c>
      <c r="Y263" s="6">
        <v>450</v>
      </c>
      <c r="Z263" s="6">
        <v>1350</v>
      </c>
      <c r="AA263" s="4">
        <v>1350</v>
      </c>
      <c r="AB263" s="25">
        <v>2250</v>
      </c>
      <c r="AC263" s="25">
        <v>1965</v>
      </c>
      <c r="AD263" s="25">
        <v>2250</v>
      </c>
      <c r="AE263">
        <v>12150</v>
      </c>
      <c r="AF263" t="s">
        <v>198</v>
      </c>
      <c r="AG263" t="s">
        <v>198</v>
      </c>
      <c r="AH263" s="33">
        <v>0.44131281524478316</v>
      </c>
      <c r="AI263" s="12">
        <v>2.2235005752588664E-2</v>
      </c>
      <c r="AJ263">
        <v>0</v>
      </c>
      <c r="AK263">
        <v>0</v>
      </c>
    </row>
    <row r="264" spans="1:37" ht="15.75" x14ac:dyDescent="0.25">
      <c r="A264" s="4">
        <v>263</v>
      </c>
      <c r="B264" s="29" t="s">
        <v>243</v>
      </c>
      <c r="C264" s="5" t="s">
        <v>59</v>
      </c>
      <c r="D264" s="5" t="s">
        <v>65</v>
      </c>
      <c r="E264" s="31">
        <v>33958</v>
      </c>
      <c r="F264" s="4" t="s">
        <v>241</v>
      </c>
      <c r="G264" s="6">
        <v>165</v>
      </c>
      <c r="H264" s="6">
        <v>165</v>
      </c>
      <c r="I264" s="6">
        <v>165</v>
      </c>
      <c r="J264" s="6">
        <v>495</v>
      </c>
      <c r="K264" s="6">
        <v>165</v>
      </c>
      <c r="L264" s="6">
        <v>165</v>
      </c>
      <c r="M264" s="6">
        <v>165</v>
      </c>
      <c r="N264" s="6">
        <v>495</v>
      </c>
      <c r="O264" s="6">
        <v>165</v>
      </c>
      <c r="P264" s="6">
        <v>165</v>
      </c>
      <c r="Q264" s="6">
        <v>165</v>
      </c>
      <c r="R264" s="6">
        <v>495</v>
      </c>
      <c r="S264" s="6">
        <v>165</v>
      </c>
      <c r="T264" s="6">
        <v>165</v>
      </c>
      <c r="U264" s="6">
        <v>165</v>
      </c>
      <c r="V264" s="6">
        <v>495</v>
      </c>
      <c r="W264" s="6">
        <v>165</v>
      </c>
      <c r="X264" s="6">
        <v>165</v>
      </c>
      <c r="Y264" s="6">
        <v>165</v>
      </c>
      <c r="Z264" s="6">
        <v>495</v>
      </c>
      <c r="AA264" s="4">
        <v>495</v>
      </c>
      <c r="AB264" s="25">
        <v>825</v>
      </c>
      <c r="AC264" s="25">
        <v>775</v>
      </c>
      <c r="AD264" s="25">
        <v>825</v>
      </c>
      <c r="AE264">
        <v>4455</v>
      </c>
      <c r="AF264" t="s">
        <v>198</v>
      </c>
      <c r="AG264" t="s">
        <v>198</v>
      </c>
      <c r="AH264" s="33">
        <v>0.59263253426948947</v>
      </c>
      <c r="AI264" s="12">
        <v>2.9411764705882353E-2</v>
      </c>
      <c r="AJ264">
        <v>0</v>
      </c>
      <c r="AK264">
        <v>0</v>
      </c>
    </row>
    <row r="265" spans="1:37" ht="15.75" x14ac:dyDescent="0.25">
      <c r="A265" s="4">
        <v>264</v>
      </c>
      <c r="B265" s="29" t="s">
        <v>243</v>
      </c>
      <c r="C265" s="5" t="s">
        <v>59</v>
      </c>
      <c r="D265" s="5" t="s">
        <v>65</v>
      </c>
      <c r="E265" s="31">
        <v>37403</v>
      </c>
      <c r="F265" s="4" t="s">
        <v>241</v>
      </c>
      <c r="G265" s="6">
        <v>118</v>
      </c>
      <c r="H265" s="6">
        <v>115</v>
      </c>
      <c r="I265" s="6">
        <v>115</v>
      </c>
      <c r="J265" s="6">
        <v>348</v>
      </c>
      <c r="K265" s="6">
        <v>115</v>
      </c>
      <c r="L265" s="6">
        <v>115</v>
      </c>
      <c r="M265" s="6">
        <v>115</v>
      </c>
      <c r="N265" s="6">
        <v>345</v>
      </c>
      <c r="O265" s="6">
        <v>115</v>
      </c>
      <c r="P265" s="6">
        <v>115</v>
      </c>
      <c r="Q265" s="6">
        <v>115</v>
      </c>
      <c r="R265" s="6">
        <v>345</v>
      </c>
      <c r="S265" s="6">
        <v>115</v>
      </c>
      <c r="T265" s="6">
        <v>115</v>
      </c>
      <c r="U265" s="6">
        <v>115</v>
      </c>
      <c r="V265" s="6">
        <v>345</v>
      </c>
      <c r="W265" s="6">
        <v>115</v>
      </c>
      <c r="X265" s="6">
        <v>115</v>
      </c>
      <c r="Y265" s="6">
        <v>115</v>
      </c>
      <c r="Z265" s="6">
        <v>345</v>
      </c>
      <c r="AA265" s="4">
        <v>348</v>
      </c>
      <c r="AB265" s="25">
        <v>575</v>
      </c>
      <c r="AC265" s="25">
        <v>1355</v>
      </c>
      <c r="AD265" s="25">
        <v>575</v>
      </c>
      <c r="AE265">
        <v>3111</v>
      </c>
      <c r="AF265" t="s">
        <v>198</v>
      </c>
      <c r="AG265" t="s">
        <v>199</v>
      </c>
      <c r="AH265" s="33">
        <v>0.77445259457435334</v>
      </c>
      <c r="AI265" s="12">
        <v>2.224824355971897E-2</v>
      </c>
      <c r="AJ265">
        <v>0</v>
      </c>
      <c r="AK265">
        <v>0</v>
      </c>
    </row>
    <row r="266" spans="1:37" ht="15.75" x14ac:dyDescent="0.25">
      <c r="A266" s="4">
        <v>265</v>
      </c>
      <c r="B266" s="29" t="s">
        <v>243</v>
      </c>
      <c r="C266" s="5" t="s">
        <v>59</v>
      </c>
      <c r="D266" s="5" t="s">
        <v>66</v>
      </c>
      <c r="E266" s="31">
        <v>8030</v>
      </c>
      <c r="F266" s="4" t="s">
        <v>240</v>
      </c>
      <c r="G266" s="6">
        <v>895</v>
      </c>
      <c r="H266" s="6">
        <v>895</v>
      </c>
      <c r="I266" s="6">
        <v>895</v>
      </c>
      <c r="J266" s="6">
        <v>2685</v>
      </c>
      <c r="K266" s="6">
        <v>895</v>
      </c>
      <c r="L266" s="6">
        <v>895</v>
      </c>
      <c r="M266" s="6">
        <v>895</v>
      </c>
      <c r="N266" s="6">
        <v>2685</v>
      </c>
      <c r="O266" s="6">
        <v>895</v>
      </c>
      <c r="P266" s="6">
        <v>895</v>
      </c>
      <c r="Q266" s="6">
        <v>895</v>
      </c>
      <c r="R266" s="6">
        <v>2685</v>
      </c>
      <c r="S266" s="6">
        <v>895</v>
      </c>
      <c r="T266" s="6">
        <v>895</v>
      </c>
      <c r="U266" s="6">
        <v>895</v>
      </c>
      <c r="V266" s="6">
        <v>2685</v>
      </c>
      <c r="W266" s="6">
        <v>895</v>
      </c>
      <c r="X266" s="6">
        <v>895</v>
      </c>
      <c r="Y266" s="6">
        <v>895</v>
      </c>
      <c r="Z266" s="6">
        <v>2685</v>
      </c>
      <c r="AA266" s="4">
        <v>2685</v>
      </c>
      <c r="AB266" s="25">
        <v>4475</v>
      </c>
      <c r="AC266" s="25">
        <v>3682</v>
      </c>
      <c r="AD266" s="25">
        <v>4475</v>
      </c>
      <c r="AE266">
        <v>24165</v>
      </c>
      <c r="AF266" t="s">
        <v>198</v>
      </c>
      <c r="AG266" t="s">
        <v>199</v>
      </c>
      <c r="AH266" s="33">
        <v>0.9321852152516833</v>
      </c>
      <c r="AI266" s="12">
        <v>0</v>
      </c>
      <c r="AJ266">
        <v>0</v>
      </c>
      <c r="AK266">
        <v>0</v>
      </c>
    </row>
    <row r="267" spans="1:37" ht="15.75" x14ac:dyDescent="0.25">
      <c r="A267" s="4">
        <v>266</v>
      </c>
      <c r="B267" s="29" t="s">
        <v>243</v>
      </c>
      <c r="C267" s="5" t="s">
        <v>59</v>
      </c>
      <c r="D267" s="5" t="s">
        <v>66</v>
      </c>
      <c r="E267" s="31">
        <v>40041</v>
      </c>
      <c r="F267" s="4" t="s">
        <v>241</v>
      </c>
      <c r="G267" s="6">
        <v>102</v>
      </c>
      <c r="H267" s="6">
        <v>102</v>
      </c>
      <c r="I267" s="6">
        <v>102</v>
      </c>
      <c r="J267" s="6">
        <v>306</v>
      </c>
      <c r="K267" s="6">
        <v>102</v>
      </c>
      <c r="L267" s="6">
        <v>102</v>
      </c>
      <c r="M267" s="6">
        <v>102</v>
      </c>
      <c r="N267" s="6">
        <v>306</v>
      </c>
      <c r="O267" s="6">
        <v>102</v>
      </c>
      <c r="P267" s="6">
        <v>102</v>
      </c>
      <c r="Q267" s="6">
        <v>102</v>
      </c>
      <c r="R267" s="6">
        <v>306</v>
      </c>
      <c r="S267" s="6">
        <v>102</v>
      </c>
      <c r="T267" s="6">
        <v>102</v>
      </c>
      <c r="U267" s="6">
        <v>102</v>
      </c>
      <c r="V267" s="6">
        <v>306</v>
      </c>
      <c r="W267" s="6">
        <v>102</v>
      </c>
      <c r="X267" s="6">
        <v>102</v>
      </c>
      <c r="Y267" s="6">
        <v>102</v>
      </c>
      <c r="Z267" s="6">
        <v>306</v>
      </c>
      <c r="AA267" s="4">
        <v>306</v>
      </c>
      <c r="AB267" s="25">
        <v>510</v>
      </c>
      <c r="AC267" s="25">
        <v>583</v>
      </c>
      <c r="AD267" s="25">
        <v>510</v>
      </c>
      <c r="AE267">
        <v>2754</v>
      </c>
      <c r="AF267" t="s">
        <v>198</v>
      </c>
      <c r="AG267" t="s">
        <v>199</v>
      </c>
      <c r="AH267" s="33">
        <v>0.84201073155181327</v>
      </c>
      <c r="AI267" s="12">
        <v>1.7469140258427777E-2</v>
      </c>
      <c r="AJ267">
        <v>0</v>
      </c>
      <c r="AK267">
        <v>0</v>
      </c>
    </row>
    <row r="268" spans="1:37" ht="15.75" x14ac:dyDescent="0.25">
      <c r="A268" s="4">
        <v>267</v>
      </c>
      <c r="B268" s="29" t="s">
        <v>243</v>
      </c>
      <c r="C268" s="5" t="s">
        <v>59</v>
      </c>
      <c r="D268" s="5" t="s">
        <v>67</v>
      </c>
      <c r="E268" s="31">
        <v>8594</v>
      </c>
      <c r="F268" s="4" t="s">
        <v>241</v>
      </c>
      <c r="G268" s="6">
        <v>177</v>
      </c>
      <c r="H268" s="6">
        <v>175</v>
      </c>
      <c r="I268" s="6">
        <v>175</v>
      </c>
      <c r="J268" s="6">
        <v>527</v>
      </c>
      <c r="K268" s="6">
        <v>175</v>
      </c>
      <c r="L268" s="6">
        <v>175</v>
      </c>
      <c r="M268" s="6">
        <v>175</v>
      </c>
      <c r="N268" s="6">
        <v>525</v>
      </c>
      <c r="O268" s="6">
        <v>175</v>
      </c>
      <c r="P268" s="6">
        <v>175</v>
      </c>
      <c r="Q268" s="6">
        <v>175</v>
      </c>
      <c r="R268" s="6">
        <v>525</v>
      </c>
      <c r="S268" s="6">
        <v>175</v>
      </c>
      <c r="T268" s="6">
        <v>175</v>
      </c>
      <c r="U268" s="6">
        <v>175</v>
      </c>
      <c r="V268" s="6">
        <v>525</v>
      </c>
      <c r="W268" s="6">
        <v>175</v>
      </c>
      <c r="X268" s="6">
        <v>175</v>
      </c>
      <c r="Y268" s="6">
        <v>175</v>
      </c>
      <c r="Z268" s="6">
        <v>525</v>
      </c>
      <c r="AA268" s="4">
        <v>527</v>
      </c>
      <c r="AB268" s="25">
        <v>875</v>
      </c>
      <c r="AC268" s="25">
        <v>832</v>
      </c>
      <c r="AD268" s="25">
        <v>875</v>
      </c>
      <c r="AE268">
        <v>4729</v>
      </c>
      <c r="AF268" t="s">
        <v>198</v>
      </c>
      <c r="AG268" t="s">
        <v>199</v>
      </c>
      <c r="AH268" s="33">
        <v>0.35229427307870231</v>
      </c>
      <c r="AI268" s="12">
        <v>0</v>
      </c>
      <c r="AJ268">
        <v>0</v>
      </c>
      <c r="AK268">
        <v>0</v>
      </c>
    </row>
    <row r="269" spans="1:37" ht="15.75" x14ac:dyDescent="0.25">
      <c r="A269" s="4">
        <v>268</v>
      </c>
      <c r="B269" s="29" t="s">
        <v>243</v>
      </c>
      <c r="C269" s="5" t="s">
        <v>59</v>
      </c>
      <c r="D269" s="5" t="s">
        <v>68</v>
      </c>
      <c r="E269" s="31">
        <v>8743</v>
      </c>
      <c r="F269" s="4" t="s">
        <v>241</v>
      </c>
      <c r="G269" s="6">
        <v>132</v>
      </c>
      <c r="H269" s="6">
        <v>132</v>
      </c>
      <c r="I269" s="6">
        <v>132</v>
      </c>
      <c r="J269" s="6">
        <v>396</v>
      </c>
      <c r="K269" s="6">
        <v>132</v>
      </c>
      <c r="L269" s="6">
        <v>132</v>
      </c>
      <c r="M269" s="6">
        <v>132</v>
      </c>
      <c r="N269" s="6">
        <v>396</v>
      </c>
      <c r="O269" s="6">
        <v>132</v>
      </c>
      <c r="P269" s="6">
        <v>132</v>
      </c>
      <c r="Q269" s="6">
        <v>132</v>
      </c>
      <c r="R269" s="6">
        <v>396</v>
      </c>
      <c r="S269" s="6">
        <v>132</v>
      </c>
      <c r="T269" s="6">
        <v>132</v>
      </c>
      <c r="U269" s="6">
        <v>132</v>
      </c>
      <c r="V269" s="6">
        <v>396</v>
      </c>
      <c r="W269" s="6">
        <v>132</v>
      </c>
      <c r="X269" s="6">
        <v>132</v>
      </c>
      <c r="Y269" s="6">
        <v>132</v>
      </c>
      <c r="Z269" s="6">
        <v>396</v>
      </c>
      <c r="AA269" s="4">
        <v>396</v>
      </c>
      <c r="AB269" s="25">
        <v>660</v>
      </c>
      <c r="AC269" s="25">
        <v>596</v>
      </c>
      <c r="AD269" s="25">
        <v>660</v>
      </c>
      <c r="AE269">
        <v>3564</v>
      </c>
      <c r="AF269" t="s">
        <v>199</v>
      </c>
      <c r="AG269" t="s">
        <v>199</v>
      </c>
      <c r="AH269" s="33">
        <v>0.15256321375476711</v>
      </c>
      <c r="AI269" s="12">
        <v>0</v>
      </c>
      <c r="AJ269">
        <v>0</v>
      </c>
      <c r="AK269">
        <v>0</v>
      </c>
    </row>
    <row r="270" spans="1:37" ht="15.75" x14ac:dyDescent="0.25">
      <c r="A270" s="4">
        <v>269</v>
      </c>
      <c r="B270" s="29" t="s">
        <v>243</v>
      </c>
      <c r="C270" s="5" t="s">
        <v>59</v>
      </c>
      <c r="D270" s="5" t="s">
        <v>68</v>
      </c>
      <c r="E270" s="31">
        <v>8560</v>
      </c>
      <c r="F270" s="4" t="s">
        <v>241</v>
      </c>
      <c r="G270" s="6">
        <v>68</v>
      </c>
      <c r="H270" s="6">
        <v>68</v>
      </c>
      <c r="I270" s="6">
        <v>68</v>
      </c>
      <c r="J270" s="6">
        <v>204</v>
      </c>
      <c r="K270" s="6">
        <v>68</v>
      </c>
      <c r="L270" s="6">
        <v>68</v>
      </c>
      <c r="M270" s="6">
        <v>68</v>
      </c>
      <c r="N270" s="6">
        <v>204</v>
      </c>
      <c r="O270" s="6">
        <v>68</v>
      </c>
      <c r="P270" s="6">
        <v>68</v>
      </c>
      <c r="Q270" s="6">
        <v>68</v>
      </c>
      <c r="R270" s="6">
        <v>204</v>
      </c>
      <c r="S270" s="6">
        <v>68</v>
      </c>
      <c r="T270" s="6">
        <v>68</v>
      </c>
      <c r="U270" s="6">
        <v>68</v>
      </c>
      <c r="V270" s="6">
        <v>204</v>
      </c>
      <c r="W270" s="6">
        <v>67</v>
      </c>
      <c r="X270" s="6">
        <v>68</v>
      </c>
      <c r="Y270" s="6">
        <v>68</v>
      </c>
      <c r="Z270" s="6">
        <v>203</v>
      </c>
      <c r="AA270" s="4">
        <v>204</v>
      </c>
      <c r="AB270" s="25">
        <v>339</v>
      </c>
      <c r="AC270" s="25">
        <v>452</v>
      </c>
      <c r="AD270" s="25">
        <v>340</v>
      </c>
      <c r="AE270">
        <v>1835</v>
      </c>
      <c r="AF270" t="s">
        <v>198</v>
      </c>
      <c r="AG270" t="s">
        <v>199</v>
      </c>
      <c r="AH270" s="33">
        <v>0.9376358033499187</v>
      </c>
      <c r="AI270" s="12">
        <v>0</v>
      </c>
      <c r="AJ270">
        <v>0</v>
      </c>
      <c r="AK270">
        <v>0</v>
      </c>
    </row>
    <row r="271" spans="1:37" ht="15.75" x14ac:dyDescent="0.25">
      <c r="A271" s="4">
        <v>270</v>
      </c>
      <c r="B271" s="29" t="s">
        <v>243</v>
      </c>
      <c r="C271" s="5" t="s">
        <v>59</v>
      </c>
      <c r="D271" s="5" t="s">
        <v>68</v>
      </c>
      <c r="E271" s="31">
        <v>7975</v>
      </c>
      <c r="F271" s="4" t="s">
        <v>241</v>
      </c>
      <c r="G271" s="6">
        <v>180</v>
      </c>
      <c r="H271" s="6">
        <v>180</v>
      </c>
      <c r="I271" s="6">
        <v>180</v>
      </c>
      <c r="J271" s="6">
        <v>540</v>
      </c>
      <c r="K271" s="6">
        <v>180</v>
      </c>
      <c r="L271" s="6">
        <v>180</v>
      </c>
      <c r="M271" s="6">
        <v>180</v>
      </c>
      <c r="N271" s="6">
        <v>540</v>
      </c>
      <c r="O271" s="6">
        <v>180</v>
      </c>
      <c r="P271" s="6">
        <v>180</v>
      </c>
      <c r="Q271" s="6">
        <v>180</v>
      </c>
      <c r="R271" s="6">
        <v>540</v>
      </c>
      <c r="S271" s="6">
        <v>180</v>
      </c>
      <c r="T271" s="6">
        <v>180</v>
      </c>
      <c r="U271" s="6">
        <v>180</v>
      </c>
      <c r="V271" s="6">
        <v>540</v>
      </c>
      <c r="W271" s="6">
        <v>180</v>
      </c>
      <c r="X271" s="6">
        <v>180</v>
      </c>
      <c r="Y271" s="6">
        <v>180</v>
      </c>
      <c r="Z271" s="6">
        <v>540</v>
      </c>
      <c r="AA271" s="4">
        <v>540</v>
      </c>
      <c r="AB271" s="25">
        <v>900</v>
      </c>
      <c r="AC271" s="25">
        <v>943</v>
      </c>
      <c r="AD271" s="25">
        <v>900</v>
      </c>
      <c r="AE271">
        <v>4860</v>
      </c>
      <c r="AF271" t="s">
        <v>198</v>
      </c>
      <c r="AG271" t="s">
        <v>198</v>
      </c>
      <c r="AH271" s="33">
        <v>0.84446975968084892</v>
      </c>
      <c r="AI271" s="12">
        <v>0</v>
      </c>
      <c r="AJ271">
        <v>0</v>
      </c>
      <c r="AK271">
        <v>0</v>
      </c>
    </row>
    <row r="272" spans="1:37" ht="15.75" x14ac:dyDescent="0.25">
      <c r="A272" s="4">
        <v>271</v>
      </c>
      <c r="B272" s="29" t="s">
        <v>243</v>
      </c>
      <c r="C272" s="5" t="s">
        <v>59</v>
      </c>
      <c r="D272" s="5" t="s">
        <v>69</v>
      </c>
      <c r="E272" s="31">
        <v>9349</v>
      </c>
      <c r="F272" s="4" t="s">
        <v>241</v>
      </c>
      <c r="G272" s="6">
        <v>223</v>
      </c>
      <c r="H272" s="6">
        <v>223</v>
      </c>
      <c r="I272" s="6">
        <v>223</v>
      </c>
      <c r="J272" s="6">
        <v>669</v>
      </c>
      <c r="K272" s="6">
        <v>223</v>
      </c>
      <c r="L272" s="6">
        <v>223</v>
      </c>
      <c r="M272" s="6">
        <v>223</v>
      </c>
      <c r="N272" s="6">
        <v>669</v>
      </c>
      <c r="O272" s="6">
        <v>223</v>
      </c>
      <c r="P272" s="6">
        <v>223</v>
      </c>
      <c r="Q272" s="6">
        <v>223</v>
      </c>
      <c r="R272" s="6">
        <v>669</v>
      </c>
      <c r="S272" s="6">
        <v>223</v>
      </c>
      <c r="T272" s="6">
        <v>223</v>
      </c>
      <c r="U272" s="6">
        <v>223</v>
      </c>
      <c r="V272" s="6">
        <v>669</v>
      </c>
      <c r="W272" s="6">
        <v>223</v>
      </c>
      <c r="X272" s="6">
        <v>223</v>
      </c>
      <c r="Y272" s="6">
        <v>223</v>
      </c>
      <c r="Z272" s="6">
        <v>669</v>
      </c>
      <c r="AA272" s="4">
        <v>669</v>
      </c>
      <c r="AB272" s="25">
        <v>1115</v>
      </c>
      <c r="AC272" s="25">
        <v>1072</v>
      </c>
      <c r="AD272" s="25">
        <v>1115</v>
      </c>
      <c r="AE272">
        <v>6021</v>
      </c>
      <c r="AF272" t="s">
        <v>198</v>
      </c>
      <c r="AG272" t="s">
        <v>199</v>
      </c>
      <c r="AH272" s="33">
        <v>0.79424909991528614</v>
      </c>
      <c r="AI272" s="12">
        <v>1.9705360283351465E-2</v>
      </c>
      <c r="AJ272">
        <v>0</v>
      </c>
      <c r="AK272">
        <v>0</v>
      </c>
    </row>
    <row r="273" spans="1:37" ht="15.75" x14ac:dyDescent="0.25">
      <c r="A273" s="4">
        <v>272</v>
      </c>
      <c r="B273" s="29" t="s">
        <v>243</v>
      </c>
      <c r="C273" s="5" t="s">
        <v>59</v>
      </c>
      <c r="D273" s="5" t="s">
        <v>69</v>
      </c>
      <c r="E273" s="31">
        <v>8753</v>
      </c>
      <c r="F273" s="4" t="s">
        <v>241</v>
      </c>
      <c r="G273" s="6">
        <v>180</v>
      </c>
      <c r="H273" s="6">
        <v>180</v>
      </c>
      <c r="I273" s="6">
        <v>180</v>
      </c>
      <c r="J273" s="6">
        <v>540</v>
      </c>
      <c r="K273" s="6">
        <v>180</v>
      </c>
      <c r="L273" s="6">
        <v>180</v>
      </c>
      <c r="M273" s="6">
        <v>180</v>
      </c>
      <c r="N273" s="6">
        <v>540</v>
      </c>
      <c r="O273" s="6">
        <v>180</v>
      </c>
      <c r="P273" s="6">
        <v>180</v>
      </c>
      <c r="Q273" s="6">
        <v>180</v>
      </c>
      <c r="R273" s="6">
        <v>540</v>
      </c>
      <c r="S273" s="6">
        <v>180</v>
      </c>
      <c r="T273" s="6">
        <v>180</v>
      </c>
      <c r="U273" s="6">
        <v>180</v>
      </c>
      <c r="V273" s="6">
        <v>540</v>
      </c>
      <c r="W273" s="6">
        <v>180</v>
      </c>
      <c r="X273" s="6">
        <v>180</v>
      </c>
      <c r="Y273" s="6">
        <v>180</v>
      </c>
      <c r="Z273" s="6">
        <v>540</v>
      </c>
      <c r="AA273" s="4">
        <v>540</v>
      </c>
      <c r="AB273" s="25">
        <v>900</v>
      </c>
      <c r="AC273" s="25">
        <v>975</v>
      </c>
      <c r="AD273" s="25">
        <v>900</v>
      </c>
      <c r="AE273">
        <v>4860</v>
      </c>
      <c r="AF273" t="s">
        <v>198</v>
      </c>
      <c r="AG273" t="s">
        <v>199</v>
      </c>
      <c r="AH273" s="33">
        <v>0.35081095206114865</v>
      </c>
      <c r="AI273" s="12">
        <v>0</v>
      </c>
      <c r="AJ273">
        <v>0</v>
      </c>
      <c r="AK273">
        <v>0</v>
      </c>
    </row>
    <row r="274" spans="1:37" ht="15.75" x14ac:dyDescent="0.25">
      <c r="A274" s="4">
        <v>273</v>
      </c>
      <c r="B274" s="29" t="s">
        <v>243</v>
      </c>
      <c r="C274" s="5" t="s">
        <v>59</v>
      </c>
      <c r="D274" s="5" t="s">
        <v>69</v>
      </c>
      <c r="E274" s="31">
        <v>8822</v>
      </c>
      <c r="F274" s="4" t="s">
        <v>241</v>
      </c>
      <c r="G274" s="6">
        <v>255</v>
      </c>
      <c r="H274" s="6">
        <v>255</v>
      </c>
      <c r="I274" s="6">
        <v>255</v>
      </c>
      <c r="J274" s="6">
        <v>765</v>
      </c>
      <c r="K274" s="6">
        <v>255</v>
      </c>
      <c r="L274" s="6">
        <v>255</v>
      </c>
      <c r="M274" s="6">
        <v>255</v>
      </c>
      <c r="N274" s="6">
        <v>765</v>
      </c>
      <c r="O274" s="6">
        <v>255</v>
      </c>
      <c r="P274" s="6">
        <v>255</v>
      </c>
      <c r="Q274" s="6">
        <v>255</v>
      </c>
      <c r="R274" s="6">
        <v>765</v>
      </c>
      <c r="S274" s="6">
        <v>255</v>
      </c>
      <c r="T274" s="6">
        <v>255</v>
      </c>
      <c r="U274" s="6">
        <v>255</v>
      </c>
      <c r="V274" s="6">
        <v>765</v>
      </c>
      <c r="W274" s="6">
        <v>255</v>
      </c>
      <c r="X274" s="6">
        <v>255</v>
      </c>
      <c r="Y274" s="6">
        <v>255</v>
      </c>
      <c r="Z274" s="6">
        <v>765</v>
      </c>
      <c r="AA274" s="4">
        <v>765</v>
      </c>
      <c r="AB274" s="25">
        <v>1275</v>
      </c>
      <c r="AC274" s="25">
        <v>1238</v>
      </c>
      <c r="AD274" s="25">
        <v>1275</v>
      </c>
      <c r="AE274">
        <v>6885</v>
      </c>
      <c r="AF274" t="s">
        <v>198</v>
      </c>
      <c r="AG274" t="s">
        <v>199</v>
      </c>
      <c r="AH274" s="33">
        <v>8.1882187974414711E-3</v>
      </c>
      <c r="AI274" s="12" t="e">
        <v>#N/A</v>
      </c>
      <c r="AJ274">
        <v>0</v>
      </c>
      <c r="AK274">
        <v>0</v>
      </c>
    </row>
    <row r="275" spans="1:37" ht="15.75" x14ac:dyDescent="0.25">
      <c r="A275" s="4">
        <v>274</v>
      </c>
      <c r="B275" s="29" t="s">
        <v>243</v>
      </c>
      <c r="C275" s="5" t="s">
        <v>59</v>
      </c>
      <c r="D275" s="5" t="s">
        <v>69</v>
      </c>
      <c r="E275" s="31">
        <v>9577</v>
      </c>
      <c r="F275" s="4" t="s">
        <v>241</v>
      </c>
      <c r="G275" s="6">
        <v>218</v>
      </c>
      <c r="H275" s="6">
        <v>218</v>
      </c>
      <c r="I275" s="6">
        <v>218</v>
      </c>
      <c r="J275" s="6">
        <v>654</v>
      </c>
      <c r="K275" s="6">
        <v>218</v>
      </c>
      <c r="L275" s="6">
        <v>218</v>
      </c>
      <c r="M275" s="6">
        <v>218</v>
      </c>
      <c r="N275" s="6">
        <v>654</v>
      </c>
      <c r="O275" s="6">
        <v>218</v>
      </c>
      <c r="P275" s="6">
        <v>218</v>
      </c>
      <c r="Q275" s="6">
        <v>218</v>
      </c>
      <c r="R275" s="6">
        <v>654</v>
      </c>
      <c r="S275" s="6">
        <v>218</v>
      </c>
      <c r="T275" s="6">
        <v>218</v>
      </c>
      <c r="U275" s="6">
        <v>218</v>
      </c>
      <c r="V275" s="6">
        <v>654</v>
      </c>
      <c r="W275" s="6">
        <v>218</v>
      </c>
      <c r="X275" s="6">
        <v>218</v>
      </c>
      <c r="Y275" s="6">
        <v>218</v>
      </c>
      <c r="Z275" s="6">
        <v>654</v>
      </c>
      <c r="AA275" s="4">
        <v>654</v>
      </c>
      <c r="AB275" s="25">
        <v>1090</v>
      </c>
      <c r="AC275" s="25">
        <v>1142</v>
      </c>
      <c r="AD275" s="25">
        <v>1090</v>
      </c>
      <c r="AE275">
        <v>5886</v>
      </c>
      <c r="AF275" t="s">
        <v>199</v>
      </c>
      <c r="AG275" t="s">
        <v>199</v>
      </c>
      <c r="AH275" s="33">
        <v>0.2760746551511295</v>
      </c>
      <c r="AI275" s="12">
        <v>1.5660989739652405E-2</v>
      </c>
      <c r="AJ275">
        <v>0</v>
      </c>
      <c r="AK275">
        <v>0</v>
      </c>
    </row>
    <row r="276" spans="1:37" ht="15.75" x14ac:dyDescent="0.25">
      <c r="A276" s="4">
        <v>275</v>
      </c>
      <c r="B276" s="29" t="s">
        <v>243</v>
      </c>
      <c r="C276" s="5" t="s">
        <v>59</v>
      </c>
      <c r="D276" s="5" t="s">
        <v>69</v>
      </c>
      <c r="E276" s="31">
        <v>8682</v>
      </c>
      <c r="F276" s="4" t="s">
        <v>241</v>
      </c>
      <c r="G276" s="6">
        <v>270</v>
      </c>
      <c r="H276" s="6">
        <v>270</v>
      </c>
      <c r="I276" s="6">
        <v>270</v>
      </c>
      <c r="J276" s="6">
        <v>810</v>
      </c>
      <c r="K276" s="6">
        <v>270</v>
      </c>
      <c r="L276" s="6">
        <v>270</v>
      </c>
      <c r="M276" s="6">
        <v>270</v>
      </c>
      <c r="N276" s="6">
        <v>810</v>
      </c>
      <c r="O276" s="6">
        <v>270</v>
      </c>
      <c r="P276" s="6">
        <v>270</v>
      </c>
      <c r="Q276" s="6">
        <v>270</v>
      </c>
      <c r="R276" s="6">
        <v>810</v>
      </c>
      <c r="S276" s="6">
        <v>270</v>
      </c>
      <c r="T276" s="6">
        <v>270</v>
      </c>
      <c r="U276" s="6">
        <v>270</v>
      </c>
      <c r="V276" s="6">
        <v>810</v>
      </c>
      <c r="W276" s="6">
        <v>270</v>
      </c>
      <c r="X276" s="6">
        <v>270</v>
      </c>
      <c r="Y276" s="6">
        <v>270</v>
      </c>
      <c r="Z276" s="6">
        <v>810</v>
      </c>
      <c r="AA276" s="4">
        <v>810</v>
      </c>
      <c r="AB276" s="25">
        <v>1350</v>
      </c>
      <c r="AC276" s="25">
        <v>1500</v>
      </c>
      <c r="AD276" s="25">
        <v>1350</v>
      </c>
      <c r="AE276">
        <v>7290</v>
      </c>
      <c r="AF276" t="s">
        <v>198</v>
      </c>
      <c r="AG276" t="s">
        <v>199</v>
      </c>
      <c r="AH276" s="33">
        <v>0.72243431985302753</v>
      </c>
      <c r="AI276" s="12">
        <v>1.9326628771316134E-2</v>
      </c>
      <c r="AJ276">
        <v>0</v>
      </c>
      <c r="AK276">
        <v>0</v>
      </c>
    </row>
    <row r="277" spans="1:37" ht="15.75" x14ac:dyDescent="0.25">
      <c r="A277" s="4">
        <v>276</v>
      </c>
      <c r="B277" s="29" t="s">
        <v>243</v>
      </c>
      <c r="C277" s="5" t="s">
        <v>59</v>
      </c>
      <c r="D277" s="5" t="s">
        <v>70</v>
      </c>
      <c r="E277" s="31">
        <v>2429</v>
      </c>
      <c r="F277" s="4" t="s">
        <v>241</v>
      </c>
      <c r="G277" s="6">
        <v>420</v>
      </c>
      <c r="H277" s="6">
        <v>420</v>
      </c>
      <c r="I277" s="6">
        <v>420</v>
      </c>
      <c r="J277" s="6">
        <v>1260</v>
      </c>
      <c r="K277" s="6">
        <v>420</v>
      </c>
      <c r="L277" s="6">
        <v>420</v>
      </c>
      <c r="M277" s="6">
        <v>420</v>
      </c>
      <c r="N277" s="6">
        <v>1260</v>
      </c>
      <c r="O277" s="6">
        <v>420</v>
      </c>
      <c r="P277" s="6">
        <v>420</v>
      </c>
      <c r="Q277" s="6">
        <v>420</v>
      </c>
      <c r="R277" s="6">
        <v>1260</v>
      </c>
      <c r="S277" s="6">
        <v>420</v>
      </c>
      <c r="T277" s="6">
        <v>420</v>
      </c>
      <c r="U277" s="6">
        <v>420</v>
      </c>
      <c r="V277" s="6">
        <v>1260</v>
      </c>
      <c r="W277" s="6">
        <v>420</v>
      </c>
      <c r="X277" s="6">
        <v>420</v>
      </c>
      <c r="Y277" s="6">
        <v>420</v>
      </c>
      <c r="Z277" s="6">
        <v>1260</v>
      </c>
      <c r="AA277" s="4">
        <v>1260</v>
      </c>
      <c r="AB277" s="25">
        <v>2100</v>
      </c>
      <c r="AC277" s="25">
        <v>1900</v>
      </c>
      <c r="AD277" s="25">
        <v>2100</v>
      </c>
      <c r="AE277">
        <v>11340</v>
      </c>
      <c r="AF277" t="s">
        <v>198</v>
      </c>
      <c r="AG277" t="s">
        <v>199</v>
      </c>
      <c r="AH277" s="33">
        <v>2.4547052453933071E-2</v>
      </c>
      <c r="AI277" s="12">
        <v>4.2698019801980201E-2</v>
      </c>
      <c r="AJ277">
        <v>0</v>
      </c>
      <c r="AK277">
        <v>0</v>
      </c>
    </row>
    <row r="278" spans="1:37" ht="15.75" x14ac:dyDescent="0.25">
      <c r="A278" s="4">
        <v>277</v>
      </c>
      <c r="B278" s="29" t="s">
        <v>243</v>
      </c>
      <c r="C278" s="5" t="s">
        <v>59</v>
      </c>
      <c r="D278" s="5" t="s">
        <v>70</v>
      </c>
      <c r="E278" s="31">
        <v>7944</v>
      </c>
      <c r="F278" s="4" t="s">
        <v>240</v>
      </c>
      <c r="G278" s="6">
        <v>220</v>
      </c>
      <c r="H278" s="6">
        <v>220</v>
      </c>
      <c r="I278" s="6">
        <v>220</v>
      </c>
      <c r="J278" s="6">
        <v>660</v>
      </c>
      <c r="K278" s="6">
        <v>220</v>
      </c>
      <c r="L278" s="6">
        <v>220</v>
      </c>
      <c r="M278" s="6">
        <v>220</v>
      </c>
      <c r="N278" s="6">
        <v>660</v>
      </c>
      <c r="O278" s="6">
        <v>220</v>
      </c>
      <c r="P278" s="6">
        <v>220</v>
      </c>
      <c r="Q278" s="6">
        <v>220</v>
      </c>
      <c r="R278" s="6">
        <v>660</v>
      </c>
      <c r="S278" s="6">
        <v>220</v>
      </c>
      <c r="T278" s="6">
        <v>220</v>
      </c>
      <c r="U278" s="6">
        <v>220</v>
      </c>
      <c r="V278" s="6">
        <v>660</v>
      </c>
      <c r="W278" s="6">
        <v>220</v>
      </c>
      <c r="X278" s="6">
        <v>220</v>
      </c>
      <c r="Y278" s="6">
        <v>220</v>
      </c>
      <c r="Z278" s="6">
        <v>660</v>
      </c>
      <c r="AA278" s="4">
        <v>660</v>
      </c>
      <c r="AB278" s="25">
        <v>1100</v>
      </c>
      <c r="AC278" s="25">
        <v>1055</v>
      </c>
      <c r="AD278" s="25">
        <v>1100</v>
      </c>
      <c r="AE278">
        <v>5940</v>
      </c>
      <c r="AF278" t="s">
        <v>198</v>
      </c>
      <c r="AG278" t="s">
        <v>198</v>
      </c>
      <c r="AH278" s="33">
        <v>0.19597542975489601</v>
      </c>
      <c r="AI278" s="12">
        <v>0</v>
      </c>
      <c r="AJ278">
        <v>0</v>
      </c>
      <c r="AK278">
        <v>0</v>
      </c>
    </row>
    <row r="279" spans="1:37" ht="15.75" x14ac:dyDescent="0.25">
      <c r="A279" s="4">
        <v>278</v>
      </c>
      <c r="B279" s="29" t="s">
        <v>243</v>
      </c>
      <c r="C279" s="5" t="s">
        <v>59</v>
      </c>
      <c r="D279" s="5" t="s">
        <v>70</v>
      </c>
      <c r="E279" s="31">
        <v>7732</v>
      </c>
      <c r="F279" s="4" t="s">
        <v>241</v>
      </c>
      <c r="G279" s="6">
        <v>175</v>
      </c>
      <c r="H279" s="6">
        <v>175</v>
      </c>
      <c r="I279" s="6">
        <v>175</v>
      </c>
      <c r="J279" s="6">
        <v>525</v>
      </c>
      <c r="K279" s="6">
        <v>175</v>
      </c>
      <c r="L279" s="6">
        <v>175</v>
      </c>
      <c r="M279" s="6">
        <v>175</v>
      </c>
      <c r="N279" s="6">
        <v>525</v>
      </c>
      <c r="O279" s="6">
        <v>175</v>
      </c>
      <c r="P279" s="6">
        <v>175</v>
      </c>
      <c r="Q279" s="6">
        <v>175</v>
      </c>
      <c r="R279" s="6">
        <v>525</v>
      </c>
      <c r="S279" s="6">
        <v>175</v>
      </c>
      <c r="T279" s="6">
        <v>175</v>
      </c>
      <c r="U279" s="6">
        <v>175</v>
      </c>
      <c r="V279" s="6">
        <v>525</v>
      </c>
      <c r="W279" s="6">
        <v>175</v>
      </c>
      <c r="X279" s="6">
        <v>175</v>
      </c>
      <c r="Y279" s="6">
        <v>175</v>
      </c>
      <c r="Z279" s="6">
        <v>525</v>
      </c>
      <c r="AA279" s="4">
        <v>525</v>
      </c>
      <c r="AB279" s="25">
        <v>875</v>
      </c>
      <c r="AC279" s="25">
        <v>923</v>
      </c>
      <c r="AD279" s="25">
        <v>875</v>
      </c>
      <c r="AE279">
        <v>4725</v>
      </c>
      <c r="AF279" t="s">
        <v>198</v>
      </c>
      <c r="AG279" t="s">
        <v>198</v>
      </c>
      <c r="AH279" s="33">
        <v>5.8984716909812773E-2</v>
      </c>
      <c r="AI279" s="12">
        <v>3.1962474091851205E-2</v>
      </c>
      <c r="AJ279">
        <v>0</v>
      </c>
      <c r="AK279">
        <v>0</v>
      </c>
    </row>
    <row r="280" spans="1:37" ht="15.75" x14ac:dyDescent="0.25">
      <c r="A280" s="4">
        <v>279</v>
      </c>
      <c r="B280" s="29" t="s">
        <v>243</v>
      </c>
      <c r="C280" s="5" t="s">
        <v>59</v>
      </c>
      <c r="D280" s="5" t="s">
        <v>71</v>
      </c>
      <c r="E280" s="31">
        <v>12176</v>
      </c>
      <c r="F280" s="4" t="s">
        <v>241</v>
      </c>
      <c r="G280" s="6">
        <v>223</v>
      </c>
      <c r="H280" s="6">
        <v>223</v>
      </c>
      <c r="I280" s="6">
        <v>223</v>
      </c>
      <c r="J280" s="6">
        <v>669</v>
      </c>
      <c r="K280" s="6">
        <v>223</v>
      </c>
      <c r="L280" s="6">
        <v>223</v>
      </c>
      <c r="M280" s="6">
        <v>223</v>
      </c>
      <c r="N280" s="6">
        <v>669</v>
      </c>
      <c r="O280" s="6">
        <v>223</v>
      </c>
      <c r="P280" s="6">
        <v>223</v>
      </c>
      <c r="Q280" s="6">
        <v>223</v>
      </c>
      <c r="R280" s="6">
        <v>669</v>
      </c>
      <c r="S280" s="6">
        <v>223</v>
      </c>
      <c r="T280" s="6">
        <v>223</v>
      </c>
      <c r="U280" s="6">
        <v>223</v>
      </c>
      <c r="V280" s="6">
        <v>669</v>
      </c>
      <c r="W280" s="6">
        <v>223</v>
      </c>
      <c r="X280" s="6">
        <v>223</v>
      </c>
      <c r="Y280" s="6">
        <v>223</v>
      </c>
      <c r="Z280" s="6">
        <v>669</v>
      </c>
      <c r="AA280" s="4">
        <v>669</v>
      </c>
      <c r="AB280" s="25">
        <v>1115</v>
      </c>
      <c r="AC280" s="25">
        <v>1113</v>
      </c>
      <c r="AD280" s="25">
        <v>1115</v>
      </c>
      <c r="AE280">
        <v>6021</v>
      </c>
      <c r="AF280" t="s">
        <v>199</v>
      </c>
      <c r="AG280" t="s">
        <v>198</v>
      </c>
      <c r="AH280" s="33">
        <v>0.87495238071859105</v>
      </c>
      <c r="AI280" s="12">
        <v>0</v>
      </c>
      <c r="AJ280">
        <v>0</v>
      </c>
      <c r="AK280">
        <v>0</v>
      </c>
    </row>
    <row r="281" spans="1:37" ht="15.75" x14ac:dyDescent="0.25">
      <c r="A281" s="4">
        <v>280</v>
      </c>
      <c r="B281" s="29" t="s">
        <v>243</v>
      </c>
      <c r="C281" s="5" t="s">
        <v>59</v>
      </c>
      <c r="D281" s="5" t="s">
        <v>71</v>
      </c>
      <c r="E281" s="31">
        <v>11394</v>
      </c>
      <c r="F281" s="4" t="s">
        <v>240</v>
      </c>
      <c r="G281" s="6">
        <v>221</v>
      </c>
      <c r="H281" s="6">
        <v>221</v>
      </c>
      <c r="I281" s="6">
        <v>221</v>
      </c>
      <c r="J281" s="6">
        <v>663</v>
      </c>
      <c r="K281" s="6">
        <v>221</v>
      </c>
      <c r="L281" s="6">
        <v>221</v>
      </c>
      <c r="M281" s="6">
        <v>221</v>
      </c>
      <c r="N281" s="6">
        <v>663</v>
      </c>
      <c r="O281" s="6">
        <v>221</v>
      </c>
      <c r="P281" s="6">
        <v>221</v>
      </c>
      <c r="Q281" s="6">
        <v>221</v>
      </c>
      <c r="R281" s="6">
        <v>663</v>
      </c>
      <c r="S281" s="6">
        <v>221</v>
      </c>
      <c r="T281" s="6">
        <v>221</v>
      </c>
      <c r="U281" s="6">
        <v>221</v>
      </c>
      <c r="V281" s="6">
        <v>663</v>
      </c>
      <c r="W281" s="6">
        <v>221</v>
      </c>
      <c r="X281" s="6">
        <v>221</v>
      </c>
      <c r="Y281" s="6">
        <v>221</v>
      </c>
      <c r="Z281" s="6">
        <v>663</v>
      </c>
      <c r="AA281" s="4">
        <v>663</v>
      </c>
      <c r="AB281" s="25">
        <v>1105</v>
      </c>
      <c r="AC281" s="25">
        <v>1331</v>
      </c>
      <c r="AD281" s="25">
        <v>1105</v>
      </c>
      <c r="AE281">
        <v>5967</v>
      </c>
      <c r="AF281" t="s">
        <v>198</v>
      </c>
      <c r="AG281" t="s">
        <v>198</v>
      </c>
      <c r="AH281" s="33">
        <v>0.31684159982347582</v>
      </c>
      <c r="AI281" s="12">
        <v>2.4444280333801048E-2</v>
      </c>
      <c r="AJ281">
        <v>0</v>
      </c>
      <c r="AK281">
        <v>0</v>
      </c>
    </row>
    <row r="282" spans="1:37" ht="15.75" x14ac:dyDescent="0.25">
      <c r="A282" s="4">
        <v>281</v>
      </c>
      <c r="B282" s="29" t="s">
        <v>243</v>
      </c>
      <c r="C282" s="5" t="s">
        <v>59</v>
      </c>
      <c r="D282" s="5" t="s">
        <v>71</v>
      </c>
      <c r="E282" s="31">
        <v>9498</v>
      </c>
      <c r="F282" s="4" t="s">
        <v>240</v>
      </c>
      <c r="G282" s="6">
        <v>447</v>
      </c>
      <c r="H282" s="6">
        <v>447</v>
      </c>
      <c r="I282" s="6">
        <v>447</v>
      </c>
      <c r="J282" s="6">
        <v>1341</v>
      </c>
      <c r="K282" s="6">
        <v>447</v>
      </c>
      <c r="L282" s="6">
        <v>447</v>
      </c>
      <c r="M282" s="6">
        <v>447</v>
      </c>
      <c r="N282" s="6">
        <v>1341</v>
      </c>
      <c r="O282" s="6">
        <v>447</v>
      </c>
      <c r="P282" s="6">
        <v>447</v>
      </c>
      <c r="Q282" s="6">
        <v>447</v>
      </c>
      <c r="R282" s="6">
        <v>1341</v>
      </c>
      <c r="S282" s="6">
        <v>447</v>
      </c>
      <c r="T282" s="6">
        <v>447</v>
      </c>
      <c r="U282" s="6">
        <v>447</v>
      </c>
      <c r="V282" s="6">
        <v>1341</v>
      </c>
      <c r="W282" s="6">
        <v>447</v>
      </c>
      <c r="X282" s="6">
        <v>447</v>
      </c>
      <c r="Y282" s="6">
        <v>447</v>
      </c>
      <c r="Z282" s="6">
        <v>1341</v>
      </c>
      <c r="AA282" s="4">
        <v>1341</v>
      </c>
      <c r="AB282" s="25">
        <v>2235</v>
      </c>
      <c r="AC282" s="25">
        <v>2235</v>
      </c>
      <c r="AD282" s="25">
        <v>2235</v>
      </c>
      <c r="AE282">
        <v>12069</v>
      </c>
      <c r="AF282" t="s">
        <v>198</v>
      </c>
      <c r="AG282" t="s">
        <v>198</v>
      </c>
      <c r="AH282" s="33">
        <v>0.51270625187429375</v>
      </c>
      <c r="AI282" s="12" t="e">
        <v>#N/A</v>
      </c>
      <c r="AJ282">
        <v>0</v>
      </c>
      <c r="AK282">
        <v>0</v>
      </c>
    </row>
    <row r="283" spans="1:37" ht="15.75" x14ac:dyDescent="0.25">
      <c r="A283" s="4">
        <v>282</v>
      </c>
      <c r="B283" s="29" t="s">
        <v>243</v>
      </c>
      <c r="C283" s="5" t="s">
        <v>59</v>
      </c>
      <c r="D283" s="5" t="s">
        <v>71</v>
      </c>
      <c r="E283" s="31">
        <v>9496</v>
      </c>
      <c r="F283" s="4" t="s">
        <v>240</v>
      </c>
      <c r="G283" s="6">
        <v>447</v>
      </c>
      <c r="H283" s="6">
        <v>447</v>
      </c>
      <c r="I283" s="6">
        <v>447</v>
      </c>
      <c r="J283" s="6">
        <v>1341</v>
      </c>
      <c r="K283" s="6">
        <v>447</v>
      </c>
      <c r="L283" s="6">
        <v>447</v>
      </c>
      <c r="M283" s="6">
        <v>447</v>
      </c>
      <c r="N283" s="6">
        <v>1341</v>
      </c>
      <c r="O283" s="6">
        <v>447</v>
      </c>
      <c r="P283" s="6">
        <v>447</v>
      </c>
      <c r="Q283" s="6">
        <v>447</v>
      </c>
      <c r="R283" s="6">
        <v>1341</v>
      </c>
      <c r="S283" s="6">
        <v>447</v>
      </c>
      <c r="T283" s="6">
        <v>447</v>
      </c>
      <c r="U283" s="6">
        <v>447</v>
      </c>
      <c r="V283" s="6">
        <v>1341</v>
      </c>
      <c r="W283" s="6">
        <v>447</v>
      </c>
      <c r="X283" s="6">
        <v>447</v>
      </c>
      <c r="Y283" s="6">
        <v>447</v>
      </c>
      <c r="Z283" s="6">
        <v>1341</v>
      </c>
      <c r="AA283" s="4">
        <v>1341</v>
      </c>
      <c r="AB283" s="25">
        <v>2235</v>
      </c>
      <c r="AC283" s="25">
        <v>2235</v>
      </c>
      <c r="AD283" s="25">
        <v>2235</v>
      </c>
      <c r="AE283">
        <v>12069</v>
      </c>
      <c r="AF283" t="s">
        <v>198</v>
      </c>
      <c r="AG283" t="s">
        <v>198</v>
      </c>
      <c r="AH283" s="33">
        <v>0.90165549268193212</v>
      </c>
      <c r="AI283" s="12" t="e">
        <v>#N/A</v>
      </c>
      <c r="AJ283">
        <v>0</v>
      </c>
      <c r="AK283">
        <v>0</v>
      </c>
    </row>
    <row r="284" spans="1:37" ht="15.75" x14ac:dyDescent="0.25">
      <c r="A284" s="4">
        <v>283</v>
      </c>
      <c r="B284" s="29" t="s">
        <v>243</v>
      </c>
      <c r="C284" s="5" t="s">
        <v>59</v>
      </c>
      <c r="D284" s="5" t="s">
        <v>71</v>
      </c>
      <c r="E284" s="31">
        <v>7953</v>
      </c>
      <c r="F284" s="4" t="s">
        <v>240</v>
      </c>
      <c r="G284" s="6">
        <v>447</v>
      </c>
      <c r="H284" s="6">
        <v>447</v>
      </c>
      <c r="I284" s="6">
        <v>447</v>
      </c>
      <c r="J284" s="6">
        <v>1341</v>
      </c>
      <c r="K284" s="6">
        <v>447</v>
      </c>
      <c r="L284" s="6">
        <v>447</v>
      </c>
      <c r="M284" s="6">
        <v>447</v>
      </c>
      <c r="N284" s="6">
        <v>1341</v>
      </c>
      <c r="O284" s="6">
        <v>447</v>
      </c>
      <c r="P284" s="6">
        <v>447</v>
      </c>
      <c r="Q284" s="6">
        <v>447</v>
      </c>
      <c r="R284" s="6">
        <v>1341</v>
      </c>
      <c r="S284" s="6">
        <v>447</v>
      </c>
      <c r="T284" s="6">
        <v>447</v>
      </c>
      <c r="U284" s="6">
        <v>447</v>
      </c>
      <c r="V284" s="6">
        <v>1341</v>
      </c>
      <c r="W284" s="6">
        <v>447</v>
      </c>
      <c r="X284" s="6">
        <v>447</v>
      </c>
      <c r="Y284" s="6">
        <v>447</v>
      </c>
      <c r="Z284" s="6">
        <v>1341</v>
      </c>
      <c r="AA284" s="4">
        <v>1341</v>
      </c>
      <c r="AB284" s="25">
        <v>2235</v>
      </c>
      <c r="AC284" s="25">
        <v>2228</v>
      </c>
      <c r="AD284" s="25">
        <v>2235</v>
      </c>
      <c r="AE284">
        <v>12069</v>
      </c>
      <c r="AF284" t="s">
        <v>198</v>
      </c>
      <c r="AG284" t="s">
        <v>198</v>
      </c>
      <c r="AH284" s="33">
        <v>0.89073830877007221</v>
      </c>
      <c r="AI284" s="12">
        <v>1.5668789808917196E-2</v>
      </c>
      <c r="AJ284">
        <v>0</v>
      </c>
      <c r="AK284">
        <v>0</v>
      </c>
    </row>
    <row r="285" spans="1:37" ht="15.75" x14ac:dyDescent="0.25">
      <c r="A285" s="4">
        <v>284</v>
      </c>
      <c r="B285" s="29" t="s">
        <v>243</v>
      </c>
      <c r="C285" s="5" t="s">
        <v>59</v>
      </c>
      <c r="D285" s="5" t="s">
        <v>71</v>
      </c>
      <c r="E285" s="31">
        <v>15799</v>
      </c>
      <c r="F285" s="4" t="s">
        <v>240</v>
      </c>
      <c r="G285" s="6">
        <v>440</v>
      </c>
      <c r="H285" s="6">
        <v>440</v>
      </c>
      <c r="I285" s="6">
        <v>440</v>
      </c>
      <c r="J285" s="6">
        <v>1320</v>
      </c>
      <c r="K285" s="6">
        <v>440</v>
      </c>
      <c r="L285" s="6">
        <v>440</v>
      </c>
      <c r="M285" s="6">
        <v>440</v>
      </c>
      <c r="N285" s="6">
        <v>1320</v>
      </c>
      <c r="O285" s="6">
        <v>440</v>
      </c>
      <c r="P285" s="6">
        <v>440</v>
      </c>
      <c r="Q285" s="6">
        <v>440</v>
      </c>
      <c r="R285" s="6">
        <v>1320</v>
      </c>
      <c r="S285" s="6">
        <v>440</v>
      </c>
      <c r="T285" s="6">
        <v>440</v>
      </c>
      <c r="U285" s="6">
        <v>440</v>
      </c>
      <c r="V285" s="6">
        <v>1320</v>
      </c>
      <c r="W285" s="6">
        <v>440</v>
      </c>
      <c r="X285" s="6">
        <v>440</v>
      </c>
      <c r="Y285" s="6">
        <v>440</v>
      </c>
      <c r="Z285" s="6">
        <v>1320</v>
      </c>
      <c r="AA285" s="4">
        <v>1320</v>
      </c>
      <c r="AB285" s="25">
        <v>2200</v>
      </c>
      <c r="AC285" s="25">
        <v>2260</v>
      </c>
      <c r="AD285" s="25">
        <v>2200</v>
      </c>
      <c r="AE285">
        <v>11880</v>
      </c>
      <c r="AF285" t="s">
        <v>199</v>
      </c>
      <c r="AG285" t="s">
        <v>198</v>
      </c>
      <c r="AH285" s="33">
        <v>0.74992398058482146</v>
      </c>
      <c r="AI285" s="12">
        <v>1.67727009832273E-2</v>
      </c>
      <c r="AJ285">
        <v>0</v>
      </c>
      <c r="AK285">
        <v>0</v>
      </c>
    </row>
    <row r="286" spans="1:37" ht="15.75" x14ac:dyDescent="0.25">
      <c r="A286" s="4">
        <v>285</v>
      </c>
      <c r="B286" s="29" t="s">
        <v>243</v>
      </c>
      <c r="C286" s="5" t="s">
        <v>59</v>
      </c>
      <c r="D286" s="5" t="s">
        <v>71</v>
      </c>
      <c r="E286" s="31">
        <v>15836</v>
      </c>
      <c r="F286" s="4" t="s">
        <v>241</v>
      </c>
      <c r="G286" s="6">
        <v>500</v>
      </c>
      <c r="H286" s="6">
        <v>500</v>
      </c>
      <c r="I286" s="6">
        <v>500</v>
      </c>
      <c r="J286" s="6">
        <v>1500</v>
      </c>
      <c r="K286" s="6">
        <v>500</v>
      </c>
      <c r="L286" s="6">
        <v>500</v>
      </c>
      <c r="M286" s="6">
        <v>500</v>
      </c>
      <c r="N286" s="6">
        <v>1500</v>
      </c>
      <c r="O286" s="6">
        <v>500</v>
      </c>
      <c r="P286" s="6">
        <v>500</v>
      </c>
      <c r="Q286" s="6">
        <v>500</v>
      </c>
      <c r="R286" s="6">
        <v>1500</v>
      </c>
      <c r="S286" s="6">
        <v>500</v>
      </c>
      <c r="T286" s="6">
        <v>500</v>
      </c>
      <c r="U286" s="6">
        <v>500</v>
      </c>
      <c r="V286" s="6">
        <v>1500</v>
      </c>
      <c r="W286" s="6">
        <v>500</v>
      </c>
      <c r="X286" s="6">
        <v>500</v>
      </c>
      <c r="Y286" s="6">
        <v>500</v>
      </c>
      <c r="Z286" s="6">
        <v>1500</v>
      </c>
      <c r="AA286" s="4">
        <v>1500</v>
      </c>
      <c r="AB286" s="25">
        <v>2500</v>
      </c>
      <c r="AC286" s="25">
        <v>2213</v>
      </c>
      <c r="AD286" s="25">
        <v>2500</v>
      </c>
      <c r="AE286">
        <v>13500</v>
      </c>
      <c r="AF286" t="s">
        <v>199</v>
      </c>
      <c r="AG286" t="s">
        <v>198</v>
      </c>
      <c r="AH286" s="33">
        <v>0.87249415247391904</v>
      </c>
      <c r="AI286" s="12" t="e">
        <v>#N/A</v>
      </c>
      <c r="AJ286">
        <v>0</v>
      </c>
      <c r="AK286">
        <v>0</v>
      </c>
    </row>
    <row r="287" spans="1:37" ht="15.75" x14ac:dyDescent="0.25">
      <c r="A287" s="4">
        <v>286</v>
      </c>
      <c r="B287" s="29" t="s">
        <v>243</v>
      </c>
      <c r="C287" s="5" t="s">
        <v>59</v>
      </c>
      <c r="D287" s="5" t="s">
        <v>71</v>
      </c>
      <c r="E287" s="31">
        <v>8836</v>
      </c>
      <c r="F287" s="4" t="s">
        <v>241</v>
      </c>
      <c r="G287" s="6">
        <v>213</v>
      </c>
      <c r="H287" s="6">
        <v>213</v>
      </c>
      <c r="I287" s="6">
        <v>213</v>
      </c>
      <c r="J287" s="6">
        <v>639</v>
      </c>
      <c r="K287" s="6">
        <v>213</v>
      </c>
      <c r="L287" s="6">
        <v>213</v>
      </c>
      <c r="M287" s="6">
        <v>213</v>
      </c>
      <c r="N287" s="6">
        <v>639</v>
      </c>
      <c r="O287" s="6">
        <v>213</v>
      </c>
      <c r="P287" s="6">
        <v>213</v>
      </c>
      <c r="Q287" s="6">
        <v>213</v>
      </c>
      <c r="R287" s="6">
        <v>639</v>
      </c>
      <c r="S287" s="6">
        <v>213</v>
      </c>
      <c r="T287" s="6">
        <v>213</v>
      </c>
      <c r="U287" s="6">
        <v>213</v>
      </c>
      <c r="V287" s="6">
        <v>639</v>
      </c>
      <c r="W287" s="6">
        <v>213</v>
      </c>
      <c r="X287" s="6">
        <v>213</v>
      </c>
      <c r="Y287" s="6">
        <v>213</v>
      </c>
      <c r="Z287" s="6">
        <v>639</v>
      </c>
      <c r="AA287" s="4">
        <v>639</v>
      </c>
      <c r="AB287" s="25">
        <v>1065</v>
      </c>
      <c r="AC287" s="25">
        <v>1312</v>
      </c>
      <c r="AD287" s="25">
        <v>1065</v>
      </c>
      <c r="AE287">
        <v>5751</v>
      </c>
      <c r="AF287" t="s">
        <v>198</v>
      </c>
      <c r="AG287" t="s">
        <v>198</v>
      </c>
      <c r="AH287" s="33">
        <v>0.84528188872821375</v>
      </c>
      <c r="AI287" s="12">
        <v>1.5963120999695216E-2</v>
      </c>
      <c r="AJ287">
        <v>0</v>
      </c>
      <c r="AK287">
        <v>0</v>
      </c>
    </row>
    <row r="288" spans="1:37" ht="15.75" x14ac:dyDescent="0.25">
      <c r="A288" s="4">
        <v>287</v>
      </c>
      <c r="B288" s="29" t="s">
        <v>243</v>
      </c>
      <c r="C288" s="5" t="s">
        <v>59</v>
      </c>
      <c r="D288" s="5" t="s">
        <v>71</v>
      </c>
      <c r="E288" s="31">
        <v>8050</v>
      </c>
      <c r="F288" s="4" t="s">
        <v>241</v>
      </c>
      <c r="G288" s="6">
        <v>460</v>
      </c>
      <c r="H288" s="6">
        <v>460</v>
      </c>
      <c r="I288" s="6">
        <v>460</v>
      </c>
      <c r="J288" s="6">
        <v>1380</v>
      </c>
      <c r="K288" s="6">
        <v>460</v>
      </c>
      <c r="L288" s="6">
        <v>460</v>
      </c>
      <c r="M288" s="6">
        <v>460</v>
      </c>
      <c r="N288" s="6">
        <v>1380</v>
      </c>
      <c r="O288" s="6">
        <v>460</v>
      </c>
      <c r="P288" s="6">
        <v>460</v>
      </c>
      <c r="Q288" s="6">
        <v>460</v>
      </c>
      <c r="R288" s="6">
        <v>1380</v>
      </c>
      <c r="S288" s="6">
        <v>460</v>
      </c>
      <c r="T288" s="6">
        <v>460</v>
      </c>
      <c r="U288" s="6">
        <v>460</v>
      </c>
      <c r="V288" s="6">
        <v>1380</v>
      </c>
      <c r="W288" s="6">
        <v>460</v>
      </c>
      <c r="X288" s="6">
        <v>460</v>
      </c>
      <c r="Y288" s="6">
        <v>460</v>
      </c>
      <c r="Z288" s="6">
        <v>1380</v>
      </c>
      <c r="AA288" s="4">
        <v>1380</v>
      </c>
      <c r="AB288" s="25">
        <v>2300</v>
      </c>
      <c r="AC288" s="25">
        <v>1941</v>
      </c>
      <c r="AD288" s="25">
        <v>2300</v>
      </c>
      <c r="AE288">
        <v>12420</v>
      </c>
      <c r="AF288" t="s">
        <v>199</v>
      </c>
      <c r="AG288" t="s">
        <v>199</v>
      </c>
      <c r="AH288" s="33">
        <v>9.081572667914195E-2</v>
      </c>
      <c r="AI288" s="12">
        <v>2.494799766399601E-2</v>
      </c>
      <c r="AJ288">
        <v>0</v>
      </c>
      <c r="AK288">
        <v>0</v>
      </c>
    </row>
    <row r="289" spans="1:37" ht="15.75" x14ac:dyDescent="0.25">
      <c r="A289" s="4">
        <v>288</v>
      </c>
      <c r="B289" s="29" t="s">
        <v>243</v>
      </c>
      <c r="C289" s="5" t="s">
        <v>59</v>
      </c>
      <c r="D289" s="5" t="s">
        <v>72</v>
      </c>
      <c r="E289" s="31">
        <v>7997</v>
      </c>
      <c r="F289" s="4" t="s">
        <v>241</v>
      </c>
      <c r="G289" s="6">
        <v>101</v>
      </c>
      <c r="H289" s="6">
        <v>101</v>
      </c>
      <c r="I289" s="6">
        <v>101</v>
      </c>
      <c r="J289" s="6">
        <v>303</v>
      </c>
      <c r="K289" s="6">
        <v>101</v>
      </c>
      <c r="L289" s="6">
        <v>101</v>
      </c>
      <c r="M289" s="6">
        <v>101</v>
      </c>
      <c r="N289" s="6">
        <v>303</v>
      </c>
      <c r="O289" s="6">
        <v>101</v>
      </c>
      <c r="P289" s="6">
        <v>101</v>
      </c>
      <c r="Q289" s="6">
        <v>101</v>
      </c>
      <c r="R289" s="6">
        <v>303</v>
      </c>
      <c r="S289" s="6">
        <v>101</v>
      </c>
      <c r="T289" s="6">
        <v>101</v>
      </c>
      <c r="U289" s="6">
        <v>101</v>
      </c>
      <c r="V289" s="6">
        <v>303</v>
      </c>
      <c r="W289" s="6">
        <v>101</v>
      </c>
      <c r="X289" s="6">
        <v>101</v>
      </c>
      <c r="Y289" s="6">
        <v>101</v>
      </c>
      <c r="Z289" s="6">
        <v>303</v>
      </c>
      <c r="AA289" s="4">
        <v>303</v>
      </c>
      <c r="AB289" s="25">
        <v>505</v>
      </c>
      <c r="AC289" s="25">
        <v>758</v>
      </c>
      <c r="AD289" s="25">
        <v>505</v>
      </c>
      <c r="AE289">
        <v>2727</v>
      </c>
      <c r="AF289" t="s">
        <v>199</v>
      </c>
      <c r="AG289" t="s">
        <v>198</v>
      </c>
      <c r="AH289" s="33">
        <v>9.4145732080219036E-2</v>
      </c>
      <c r="AI289" s="12" t="e">
        <v>#N/A</v>
      </c>
      <c r="AJ289">
        <v>0</v>
      </c>
      <c r="AK289">
        <v>0</v>
      </c>
    </row>
    <row r="290" spans="1:37" ht="15.75" x14ac:dyDescent="0.25">
      <c r="A290" s="4">
        <v>289</v>
      </c>
      <c r="B290" s="29" t="s">
        <v>243</v>
      </c>
      <c r="C290" s="5" t="s">
        <v>59</v>
      </c>
      <c r="D290" s="5" t="s">
        <v>72</v>
      </c>
      <c r="E290" s="31">
        <v>8773</v>
      </c>
      <c r="F290" s="4" t="s">
        <v>240</v>
      </c>
      <c r="G290" s="6">
        <v>354</v>
      </c>
      <c r="H290" s="6">
        <v>354</v>
      </c>
      <c r="I290" s="6">
        <v>354</v>
      </c>
      <c r="J290" s="6">
        <v>1062</v>
      </c>
      <c r="K290" s="6">
        <v>354</v>
      </c>
      <c r="L290" s="6">
        <v>354</v>
      </c>
      <c r="M290" s="6">
        <v>354</v>
      </c>
      <c r="N290" s="6">
        <v>1062</v>
      </c>
      <c r="O290" s="6">
        <v>354</v>
      </c>
      <c r="P290" s="6">
        <v>354</v>
      </c>
      <c r="Q290" s="6">
        <v>354</v>
      </c>
      <c r="R290" s="6">
        <v>1062</v>
      </c>
      <c r="S290" s="6">
        <v>354</v>
      </c>
      <c r="T290" s="6">
        <v>354</v>
      </c>
      <c r="U290" s="6">
        <v>354</v>
      </c>
      <c r="V290" s="6">
        <v>1062</v>
      </c>
      <c r="W290" s="6">
        <v>354</v>
      </c>
      <c r="X290" s="6">
        <v>354</v>
      </c>
      <c r="Y290" s="6">
        <v>354</v>
      </c>
      <c r="Z290" s="6">
        <v>1062</v>
      </c>
      <c r="AA290" s="4">
        <v>1062</v>
      </c>
      <c r="AB290" s="25">
        <v>1770</v>
      </c>
      <c r="AC290" s="25">
        <v>1663</v>
      </c>
      <c r="AD290" s="25">
        <v>1770</v>
      </c>
      <c r="AE290">
        <v>9558</v>
      </c>
      <c r="AF290" t="s">
        <v>199</v>
      </c>
      <c r="AG290" t="s">
        <v>199</v>
      </c>
      <c r="AH290" s="33">
        <v>0.39664910737041958</v>
      </c>
      <c r="AI290" s="12" t="e">
        <v>#N/A</v>
      </c>
      <c r="AJ290">
        <v>0</v>
      </c>
      <c r="AK290">
        <v>0</v>
      </c>
    </row>
    <row r="291" spans="1:37" ht="15.75" x14ac:dyDescent="0.25">
      <c r="A291" s="4">
        <v>290</v>
      </c>
      <c r="B291" s="29" t="s">
        <v>243</v>
      </c>
      <c r="C291" s="5" t="s">
        <v>59</v>
      </c>
      <c r="D291" s="5" t="s">
        <v>72</v>
      </c>
      <c r="E291" s="31">
        <v>7962</v>
      </c>
      <c r="F291" s="4" t="s">
        <v>241</v>
      </c>
      <c r="G291" s="6">
        <v>247</v>
      </c>
      <c r="H291" s="6">
        <v>247</v>
      </c>
      <c r="I291" s="6">
        <v>247</v>
      </c>
      <c r="J291" s="6">
        <v>741</v>
      </c>
      <c r="K291" s="6">
        <v>247</v>
      </c>
      <c r="L291" s="6">
        <v>247</v>
      </c>
      <c r="M291" s="6">
        <v>247</v>
      </c>
      <c r="N291" s="6">
        <v>741</v>
      </c>
      <c r="O291" s="6">
        <v>247</v>
      </c>
      <c r="P291" s="6">
        <v>247</v>
      </c>
      <c r="Q291" s="6">
        <v>247</v>
      </c>
      <c r="R291" s="6">
        <v>741</v>
      </c>
      <c r="S291" s="6">
        <v>247</v>
      </c>
      <c r="T291" s="6">
        <v>247</v>
      </c>
      <c r="U291" s="6">
        <v>247</v>
      </c>
      <c r="V291" s="6">
        <v>741</v>
      </c>
      <c r="W291" s="6">
        <v>247</v>
      </c>
      <c r="X291" s="6">
        <v>247</v>
      </c>
      <c r="Y291" s="6">
        <v>247</v>
      </c>
      <c r="Z291" s="6">
        <v>741</v>
      </c>
      <c r="AA291" s="4">
        <v>741</v>
      </c>
      <c r="AB291" s="25">
        <v>1235</v>
      </c>
      <c r="AC291" s="25">
        <v>1318</v>
      </c>
      <c r="AD291" s="25">
        <v>1235</v>
      </c>
      <c r="AE291">
        <v>6669</v>
      </c>
      <c r="AF291" t="s">
        <v>198</v>
      </c>
      <c r="AG291" t="s">
        <v>198</v>
      </c>
      <c r="AH291" s="33">
        <v>0.75292324305742697</v>
      </c>
      <c r="AI291" s="12">
        <v>1.6944365998305563E-2</v>
      </c>
      <c r="AJ291">
        <v>0</v>
      </c>
      <c r="AK291">
        <v>1</v>
      </c>
    </row>
    <row r="292" spans="1:37" ht="15.75" x14ac:dyDescent="0.25">
      <c r="A292" s="4">
        <v>291</v>
      </c>
      <c r="B292" s="29" t="s">
        <v>243</v>
      </c>
      <c r="C292" s="5" t="s">
        <v>59</v>
      </c>
      <c r="D292" s="5" t="s">
        <v>72</v>
      </c>
      <c r="E292" s="31">
        <v>8849</v>
      </c>
      <c r="F292" s="4" t="s">
        <v>241</v>
      </c>
      <c r="G292" s="6">
        <v>330</v>
      </c>
      <c r="H292" s="6">
        <v>330</v>
      </c>
      <c r="I292" s="6">
        <v>330</v>
      </c>
      <c r="J292" s="6">
        <v>990</v>
      </c>
      <c r="K292" s="6">
        <v>330</v>
      </c>
      <c r="L292" s="6">
        <v>330</v>
      </c>
      <c r="M292" s="6">
        <v>330</v>
      </c>
      <c r="N292" s="6">
        <v>990</v>
      </c>
      <c r="O292" s="6">
        <v>330</v>
      </c>
      <c r="P292" s="6">
        <v>330</v>
      </c>
      <c r="Q292" s="6">
        <v>330</v>
      </c>
      <c r="R292" s="6">
        <v>990</v>
      </c>
      <c r="S292" s="6">
        <v>330</v>
      </c>
      <c r="T292" s="6">
        <v>330</v>
      </c>
      <c r="U292" s="6">
        <v>330</v>
      </c>
      <c r="V292" s="6">
        <v>990</v>
      </c>
      <c r="W292" s="6">
        <v>330</v>
      </c>
      <c r="X292" s="6">
        <v>330</v>
      </c>
      <c r="Y292" s="6">
        <v>330</v>
      </c>
      <c r="Z292" s="6">
        <v>990</v>
      </c>
      <c r="AA292" s="4">
        <v>990</v>
      </c>
      <c r="AB292" s="25">
        <v>1650</v>
      </c>
      <c r="AC292" s="25">
        <v>1635</v>
      </c>
      <c r="AD292" s="25">
        <v>1650</v>
      </c>
      <c r="AE292">
        <v>8910</v>
      </c>
      <c r="AF292" t="s">
        <v>198</v>
      </c>
      <c r="AG292" t="s">
        <v>199</v>
      </c>
      <c r="AH292" s="33">
        <v>0.47295749941125265</v>
      </c>
      <c r="AI292" s="12" t="e">
        <v>#N/A</v>
      </c>
      <c r="AJ292">
        <v>0</v>
      </c>
      <c r="AK292">
        <v>0</v>
      </c>
    </row>
    <row r="293" spans="1:37" ht="15.75" x14ac:dyDescent="0.25">
      <c r="A293" s="4">
        <v>292</v>
      </c>
      <c r="B293" s="29" t="s">
        <v>243</v>
      </c>
      <c r="C293" s="5" t="s">
        <v>59</v>
      </c>
      <c r="D293" s="5" t="s">
        <v>72</v>
      </c>
      <c r="E293" s="31">
        <v>7959</v>
      </c>
      <c r="F293" s="4" t="s">
        <v>241</v>
      </c>
      <c r="G293" s="6">
        <v>315</v>
      </c>
      <c r="H293" s="6">
        <v>315</v>
      </c>
      <c r="I293" s="6">
        <v>315</v>
      </c>
      <c r="J293" s="6">
        <v>945</v>
      </c>
      <c r="K293" s="6">
        <v>315</v>
      </c>
      <c r="L293" s="6">
        <v>315</v>
      </c>
      <c r="M293" s="6">
        <v>315</v>
      </c>
      <c r="N293" s="6">
        <v>945</v>
      </c>
      <c r="O293" s="6">
        <v>315</v>
      </c>
      <c r="P293" s="6">
        <v>315</v>
      </c>
      <c r="Q293" s="6">
        <v>315</v>
      </c>
      <c r="R293" s="6">
        <v>945</v>
      </c>
      <c r="S293" s="6">
        <v>315</v>
      </c>
      <c r="T293" s="6">
        <v>315</v>
      </c>
      <c r="U293" s="6">
        <v>315</v>
      </c>
      <c r="V293" s="6">
        <v>945</v>
      </c>
      <c r="W293" s="6">
        <v>315</v>
      </c>
      <c r="X293" s="6">
        <v>315</v>
      </c>
      <c r="Y293" s="6">
        <v>315</v>
      </c>
      <c r="Z293" s="6">
        <v>945</v>
      </c>
      <c r="AA293" s="4">
        <v>945</v>
      </c>
      <c r="AB293" s="25">
        <v>1575</v>
      </c>
      <c r="AC293" s="25">
        <v>1580</v>
      </c>
      <c r="AD293" s="25">
        <v>1575</v>
      </c>
      <c r="AE293">
        <v>8505</v>
      </c>
      <c r="AF293" t="s">
        <v>198</v>
      </c>
      <c r="AG293" t="s">
        <v>199</v>
      </c>
      <c r="AH293" s="33">
        <v>2.1207962462868157E-2</v>
      </c>
      <c r="AI293" s="12">
        <v>1.6588112872620433E-2</v>
      </c>
      <c r="AJ293">
        <v>1</v>
      </c>
      <c r="AK293">
        <v>0</v>
      </c>
    </row>
    <row r="294" spans="1:37" ht="15.75" x14ac:dyDescent="0.25">
      <c r="A294" s="4">
        <v>293</v>
      </c>
      <c r="B294" s="29" t="s">
        <v>243</v>
      </c>
      <c r="C294" s="5" t="s">
        <v>59</v>
      </c>
      <c r="D294" s="5" t="s">
        <v>72</v>
      </c>
      <c r="E294" s="31">
        <v>8774</v>
      </c>
      <c r="F294" s="4" t="s">
        <v>241</v>
      </c>
      <c r="G294" s="6">
        <v>320</v>
      </c>
      <c r="H294" s="6">
        <v>320</v>
      </c>
      <c r="I294" s="6">
        <v>320</v>
      </c>
      <c r="J294" s="6">
        <v>960</v>
      </c>
      <c r="K294" s="6">
        <v>320</v>
      </c>
      <c r="L294" s="6">
        <v>320</v>
      </c>
      <c r="M294" s="6">
        <v>320</v>
      </c>
      <c r="N294" s="6">
        <v>960</v>
      </c>
      <c r="O294" s="6">
        <v>320</v>
      </c>
      <c r="P294" s="6">
        <v>320</v>
      </c>
      <c r="Q294" s="6">
        <v>320</v>
      </c>
      <c r="R294" s="6">
        <v>960</v>
      </c>
      <c r="S294" s="6">
        <v>320</v>
      </c>
      <c r="T294" s="6">
        <v>320</v>
      </c>
      <c r="U294" s="6">
        <v>320</v>
      </c>
      <c r="V294" s="6">
        <v>960</v>
      </c>
      <c r="W294" s="6">
        <v>320</v>
      </c>
      <c r="X294" s="6">
        <v>320</v>
      </c>
      <c r="Y294" s="6">
        <v>320</v>
      </c>
      <c r="Z294" s="6">
        <v>960</v>
      </c>
      <c r="AA294" s="4">
        <v>960</v>
      </c>
      <c r="AB294" s="25">
        <v>1600</v>
      </c>
      <c r="AC294" s="25">
        <v>1500</v>
      </c>
      <c r="AD294" s="25">
        <v>1600</v>
      </c>
      <c r="AE294">
        <v>8640</v>
      </c>
      <c r="AF294" t="s">
        <v>198</v>
      </c>
      <c r="AG294" t="s">
        <v>199</v>
      </c>
      <c r="AH294" s="33">
        <v>0.89144002236901465</v>
      </c>
      <c r="AI294" s="12" t="e">
        <v>#N/A</v>
      </c>
      <c r="AJ294">
        <v>0</v>
      </c>
      <c r="AK294">
        <v>0</v>
      </c>
    </row>
    <row r="295" spans="1:37" ht="15.75" x14ac:dyDescent="0.25">
      <c r="A295" s="4">
        <v>294</v>
      </c>
      <c r="B295" s="29" t="s">
        <v>243</v>
      </c>
      <c r="C295" s="5" t="s">
        <v>59</v>
      </c>
      <c r="D295" s="5" t="s">
        <v>72</v>
      </c>
      <c r="E295" s="31">
        <v>8749</v>
      </c>
      <c r="F295" s="4" t="s">
        <v>240</v>
      </c>
      <c r="G295" s="6">
        <v>220</v>
      </c>
      <c r="H295" s="6">
        <v>220</v>
      </c>
      <c r="I295" s="6">
        <v>220</v>
      </c>
      <c r="J295" s="6">
        <v>660</v>
      </c>
      <c r="K295" s="6">
        <v>220</v>
      </c>
      <c r="L295" s="6">
        <v>220</v>
      </c>
      <c r="M295" s="6">
        <v>220</v>
      </c>
      <c r="N295" s="6">
        <v>660</v>
      </c>
      <c r="O295" s="6">
        <v>220</v>
      </c>
      <c r="P295" s="6">
        <v>220</v>
      </c>
      <c r="Q295" s="6">
        <v>220</v>
      </c>
      <c r="R295" s="6">
        <v>660</v>
      </c>
      <c r="S295" s="6">
        <v>220</v>
      </c>
      <c r="T295" s="6">
        <v>220</v>
      </c>
      <c r="U295" s="6">
        <v>220</v>
      </c>
      <c r="V295" s="6">
        <v>660</v>
      </c>
      <c r="W295" s="6">
        <v>220</v>
      </c>
      <c r="X295" s="6">
        <v>220</v>
      </c>
      <c r="Y295" s="6">
        <v>220</v>
      </c>
      <c r="Z295" s="6">
        <v>660</v>
      </c>
      <c r="AA295" s="4">
        <v>660</v>
      </c>
      <c r="AB295" s="25">
        <v>1100</v>
      </c>
      <c r="AC295" s="25">
        <v>1330</v>
      </c>
      <c r="AD295" s="25">
        <v>1100</v>
      </c>
      <c r="AE295">
        <v>5940</v>
      </c>
      <c r="AF295" t="s">
        <v>199</v>
      </c>
      <c r="AG295" t="s">
        <v>199</v>
      </c>
      <c r="AH295" s="33">
        <v>0.56175288974795079</v>
      </c>
      <c r="AI295" s="12" t="e">
        <v>#N/A</v>
      </c>
      <c r="AJ295">
        <v>0</v>
      </c>
      <c r="AK295">
        <v>0</v>
      </c>
    </row>
    <row r="296" spans="1:37" ht="15.75" x14ac:dyDescent="0.25">
      <c r="A296" s="4">
        <v>295</v>
      </c>
      <c r="B296" s="29" t="s">
        <v>243</v>
      </c>
      <c r="C296" s="5" t="s">
        <v>59</v>
      </c>
      <c r="D296" s="5" t="s">
        <v>72</v>
      </c>
      <c r="E296" s="31">
        <v>12175</v>
      </c>
      <c r="F296" s="4" t="s">
        <v>240</v>
      </c>
      <c r="G296" s="6">
        <v>450</v>
      </c>
      <c r="H296" s="6">
        <v>450</v>
      </c>
      <c r="I296" s="6">
        <v>450</v>
      </c>
      <c r="J296" s="6">
        <v>1350</v>
      </c>
      <c r="K296" s="6">
        <v>450</v>
      </c>
      <c r="L296" s="6">
        <v>450</v>
      </c>
      <c r="M296" s="6">
        <v>450</v>
      </c>
      <c r="N296" s="6">
        <v>1350</v>
      </c>
      <c r="O296" s="6">
        <v>450</v>
      </c>
      <c r="P296" s="6">
        <v>450</v>
      </c>
      <c r="Q296" s="6">
        <v>450</v>
      </c>
      <c r="R296" s="6">
        <v>1350</v>
      </c>
      <c r="S296" s="6">
        <v>450</v>
      </c>
      <c r="T296" s="6">
        <v>450</v>
      </c>
      <c r="U296" s="6">
        <v>450</v>
      </c>
      <c r="V296" s="6">
        <v>1350</v>
      </c>
      <c r="W296" s="6">
        <v>450</v>
      </c>
      <c r="X296" s="6">
        <v>450</v>
      </c>
      <c r="Y296" s="6">
        <v>450</v>
      </c>
      <c r="Z296" s="6">
        <v>1350</v>
      </c>
      <c r="AA296" s="4">
        <v>1350</v>
      </c>
      <c r="AB296" s="25">
        <v>2250</v>
      </c>
      <c r="AC296" s="25">
        <v>2100</v>
      </c>
      <c r="AD296" s="25">
        <v>2250</v>
      </c>
      <c r="AE296">
        <v>12150</v>
      </c>
      <c r="AF296" t="s">
        <v>199</v>
      </c>
      <c r="AG296" t="s">
        <v>199</v>
      </c>
      <c r="AH296" s="33">
        <v>0.14622964807383987</v>
      </c>
      <c r="AI296" s="12">
        <v>1.5545492740768404E-2</v>
      </c>
      <c r="AJ296">
        <v>0</v>
      </c>
      <c r="AK296">
        <v>0</v>
      </c>
    </row>
    <row r="297" spans="1:37" ht="15.75" x14ac:dyDescent="0.25">
      <c r="A297" s="4">
        <v>296</v>
      </c>
      <c r="B297" s="29" t="s">
        <v>243</v>
      </c>
      <c r="C297" s="5" t="s">
        <v>59</v>
      </c>
      <c r="D297" s="5" t="s">
        <v>72</v>
      </c>
      <c r="E297" s="31">
        <v>8099</v>
      </c>
      <c r="F297" s="4" t="s">
        <v>241</v>
      </c>
      <c r="G297" s="6">
        <v>300</v>
      </c>
      <c r="H297" s="6">
        <v>300</v>
      </c>
      <c r="I297" s="6">
        <v>300</v>
      </c>
      <c r="J297" s="6">
        <v>900</v>
      </c>
      <c r="K297" s="6">
        <v>300</v>
      </c>
      <c r="L297" s="6">
        <v>300</v>
      </c>
      <c r="M297" s="6">
        <v>300</v>
      </c>
      <c r="N297" s="6">
        <v>900</v>
      </c>
      <c r="O297" s="6">
        <v>300</v>
      </c>
      <c r="P297" s="6">
        <v>300</v>
      </c>
      <c r="Q297" s="6">
        <v>300</v>
      </c>
      <c r="R297" s="6">
        <v>900</v>
      </c>
      <c r="S297" s="6">
        <v>300</v>
      </c>
      <c r="T297" s="6">
        <v>300</v>
      </c>
      <c r="U297" s="6">
        <v>300</v>
      </c>
      <c r="V297" s="6">
        <v>900</v>
      </c>
      <c r="W297" s="6">
        <v>300</v>
      </c>
      <c r="X297" s="6">
        <v>300</v>
      </c>
      <c r="Y297" s="6">
        <v>300</v>
      </c>
      <c r="Z297" s="6">
        <v>900</v>
      </c>
      <c r="AA297" s="4">
        <v>900</v>
      </c>
      <c r="AB297" s="25">
        <v>1500</v>
      </c>
      <c r="AC297" s="25">
        <v>1560</v>
      </c>
      <c r="AD297" s="25">
        <v>1500</v>
      </c>
      <c r="AE297">
        <v>8100</v>
      </c>
      <c r="AF297" t="s">
        <v>198</v>
      </c>
      <c r="AG297" t="s">
        <v>199</v>
      </c>
      <c r="AH297" s="33">
        <v>0.9635273445668574</v>
      </c>
      <c r="AI297" s="12">
        <v>1.5842988886261528E-2</v>
      </c>
      <c r="AJ297">
        <v>0</v>
      </c>
      <c r="AK297">
        <v>0</v>
      </c>
    </row>
    <row r="298" spans="1:37" ht="15.75" x14ac:dyDescent="0.25">
      <c r="A298" s="4">
        <v>297</v>
      </c>
      <c r="B298" s="29" t="s">
        <v>243</v>
      </c>
      <c r="C298" s="5" t="s">
        <v>59</v>
      </c>
      <c r="D298" s="5" t="s">
        <v>72</v>
      </c>
      <c r="E298" s="31">
        <v>8348</v>
      </c>
      <c r="F298" s="4" t="s">
        <v>241</v>
      </c>
      <c r="G298" s="6">
        <v>360</v>
      </c>
      <c r="H298" s="6">
        <v>360</v>
      </c>
      <c r="I298" s="6">
        <v>360</v>
      </c>
      <c r="J298" s="6">
        <v>1080</v>
      </c>
      <c r="K298" s="6">
        <v>360</v>
      </c>
      <c r="L298" s="6">
        <v>360</v>
      </c>
      <c r="M298" s="6">
        <v>360</v>
      </c>
      <c r="N298" s="6">
        <v>1080</v>
      </c>
      <c r="O298" s="6">
        <v>360</v>
      </c>
      <c r="P298" s="6">
        <v>360</v>
      </c>
      <c r="Q298" s="6">
        <v>360</v>
      </c>
      <c r="R298" s="6">
        <v>1080</v>
      </c>
      <c r="S298" s="6">
        <v>360</v>
      </c>
      <c r="T298" s="6">
        <v>360</v>
      </c>
      <c r="U298" s="6">
        <v>360</v>
      </c>
      <c r="V298" s="6">
        <v>1080</v>
      </c>
      <c r="W298" s="6">
        <v>360</v>
      </c>
      <c r="X298" s="6">
        <v>360</v>
      </c>
      <c r="Y298" s="6">
        <v>360</v>
      </c>
      <c r="Z298" s="6">
        <v>1080</v>
      </c>
      <c r="AA298" s="4">
        <v>1080</v>
      </c>
      <c r="AB298" s="25">
        <v>1800</v>
      </c>
      <c r="AC298" s="25">
        <v>1770</v>
      </c>
      <c r="AD298" s="25">
        <v>1800</v>
      </c>
      <c r="AE298">
        <v>9720</v>
      </c>
      <c r="AF298" t="s">
        <v>198</v>
      </c>
      <c r="AG298" t="s">
        <v>199</v>
      </c>
      <c r="AH298" s="33">
        <v>0.40057875753535188</v>
      </c>
      <c r="AI298" s="12">
        <v>1.8449150404947174E-2</v>
      </c>
      <c r="AJ298">
        <v>0</v>
      </c>
      <c r="AK298">
        <v>0</v>
      </c>
    </row>
    <row r="299" spans="1:37" ht="15.75" x14ac:dyDescent="0.25">
      <c r="A299" s="4">
        <v>298</v>
      </c>
      <c r="B299" s="29" t="s">
        <v>243</v>
      </c>
      <c r="C299" s="5" t="s">
        <v>59</v>
      </c>
      <c r="D299" s="5" t="s">
        <v>72</v>
      </c>
      <c r="E299" s="31">
        <v>8001</v>
      </c>
      <c r="F299" s="4" t="s">
        <v>241</v>
      </c>
      <c r="G299" s="6">
        <v>330</v>
      </c>
      <c r="H299" s="6">
        <v>330</v>
      </c>
      <c r="I299" s="6">
        <v>330</v>
      </c>
      <c r="J299" s="6">
        <v>990</v>
      </c>
      <c r="K299" s="6">
        <v>330</v>
      </c>
      <c r="L299" s="6">
        <v>330</v>
      </c>
      <c r="M299" s="6">
        <v>330</v>
      </c>
      <c r="N299" s="6">
        <v>990</v>
      </c>
      <c r="O299" s="6">
        <v>330</v>
      </c>
      <c r="P299" s="6">
        <v>330</v>
      </c>
      <c r="Q299" s="6">
        <v>330</v>
      </c>
      <c r="R299" s="6">
        <v>990</v>
      </c>
      <c r="S299" s="6">
        <v>330</v>
      </c>
      <c r="T299" s="6">
        <v>330</v>
      </c>
      <c r="U299" s="6">
        <v>330</v>
      </c>
      <c r="V299" s="6">
        <v>990</v>
      </c>
      <c r="W299" s="6">
        <v>330</v>
      </c>
      <c r="X299" s="6">
        <v>330</v>
      </c>
      <c r="Y299" s="6">
        <v>330</v>
      </c>
      <c r="Z299" s="6">
        <v>990</v>
      </c>
      <c r="AA299" s="4">
        <v>990</v>
      </c>
      <c r="AB299" s="25">
        <v>1650</v>
      </c>
      <c r="AC299" s="25">
        <v>1640</v>
      </c>
      <c r="AD299" s="25">
        <v>1650</v>
      </c>
      <c r="AE299">
        <v>8910</v>
      </c>
      <c r="AF299" t="s">
        <v>198</v>
      </c>
      <c r="AG299" t="s">
        <v>199</v>
      </c>
      <c r="AH299" s="33">
        <v>0.8612070163705956</v>
      </c>
      <c r="AI299" s="12">
        <v>2.2555800062873312E-2</v>
      </c>
      <c r="AJ299">
        <v>0</v>
      </c>
      <c r="AK299">
        <v>0</v>
      </c>
    </row>
    <row r="300" spans="1:37" ht="15.75" x14ac:dyDescent="0.25">
      <c r="A300" s="4">
        <v>299</v>
      </c>
      <c r="B300" s="29" t="s">
        <v>243</v>
      </c>
      <c r="C300" s="5" t="s">
        <v>59</v>
      </c>
      <c r="D300" s="5" t="s">
        <v>72</v>
      </c>
      <c r="E300" s="31">
        <v>8038</v>
      </c>
      <c r="F300" s="4" t="s">
        <v>241</v>
      </c>
      <c r="G300" s="6">
        <v>320</v>
      </c>
      <c r="H300" s="6">
        <v>320</v>
      </c>
      <c r="I300" s="6">
        <v>320</v>
      </c>
      <c r="J300" s="6">
        <v>960</v>
      </c>
      <c r="K300" s="6">
        <v>320</v>
      </c>
      <c r="L300" s="6">
        <v>320</v>
      </c>
      <c r="M300" s="6">
        <v>320</v>
      </c>
      <c r="N300" s="6">
        <v>960</v>
      </c>
      <c r="O300" s="6">
        <v>320</v>
      </c>
      <c r="P300" s="6">
        <v>320</v>
      </c>
      <c r="Q300" s="6">
        <v>320</v>
      </c>
      <c r="R300" s="6">
        <v>960</v>
      </c>
      <c r="S300" s="6">
        <v>320</v>
      </c>
      <c r="T300" s="6">
        <v>320</v>
      </c>
      <c r="U300" s="6">
        <v>320</v>
      </c>
      <c r="V300" s="6">
        <v>960</v>
      </c>
      <c r="W300" s="6">
        <v>320</v>
      </c>
      <c r="X300" s="6">
        <v>320</v>
      </c>
      <c r="Y300" s="6">
        <v>320</v>
      </c>
      <c r="Z300" s="6">
        <v>960</v>
      </c>
      <c r="AA300" s="4">
        <v>960</v>
      </c>
      <c r="AB300" s="25">
        <v>1600</v>
      </c>
      <c r="AC300" s="25">
        <v>1545</v>
      </c>
      <c r="AD300" s="25">
        <v>1600</v>
      </c>
      <c r="AE300">
        <v>8640</v>
      </c>
      <c r="AF300" t="s">
        <v>198</v>
      </c>
      <c r="AG300" t="s">
        <v>198</v>
      </c>
      <c r="AH300" s="33">
        <v>0.48584660403818947</v>
      </c>
      <c r="AI300" s="12">
        <v>3.3618644941734555E-2</v>
      </c>
      <c r="AJ300">
        <v>0</v>
      </c>
      <c r="AK300">
        <v>0</v>
      </c>
    </row>
    <row r="301" spans="1:37" ht="15.75" x14ac:dyDescent="0.25">
      <c r="A301" s="4">
        <v>300</v>
      </c>
      <c r="B301" s="29" t="s">
        <v>243</v>
      </c>
      <c r="C301" s="5" t="s">
        <v>59</v>
      </c>
      <c r="D301" s="5" t="s">
        <v>72</v>
      </c>
      <c r="E301" s="31">
        <v>8334</v>
      </c>
      <c r="F301" s="4" t="s">
        <v>241</v>
      </c>
      <c r="G301" s="6">
        <v>265</v>
      </c>
      <c r="H301" s="6">
        <v>265</v>
      </c>
      <c r="I301" s="6">
        <v>265</v>
      </c>
      <c r="J301" s="6">
        <v>795</v>
      </c>
      <c r="K301" s="6">
        <v>265</v>
      </c>
      <c r="L301" s="6">
        <v>265</v>
      </c>
      <c r="M301" s="6">
        <v>265</v>
      </c>
      <c r="N301" s="6">
        <v>795</v>
      </c>
      <c r="O301" s="6">
        <v>265</v>
      </c>
      <c r="P301" s="6">
        <v>265</v>
      </c>
      <c r="Q301" s="6">
        <v>265</v>
      </c>
      <c r="R301" s="6">
        <v>795</v>
      </c>
      <c r="S301" s="6">
        <v>265</v>
      </c>
      <c r="T301" s="6">
        <v>265</v>
      </c>
      <c r="U301" s="6">
        <v>265</v>
      </c>
      <c r="V301" s="6">
        <v>795</v>
      </c>
      <c r="W301" s="6">
        <v>265</v>
      </c>
      <c r="X301" s="6">
        <v>265</v>
      </c>
      <c r="Y301" s="6">
        <v>265</v>
      </c>
      <c r="Z301" s="6">
        <v>795</v>
      </c>
      <c r="AA301" s="4">
        <v>795</v>
      </c>
      <c r="AB301" s="25">
        <v>1325</v>
      </c>
      <c r="AC301" s="25">
        <v>1530</v>
      </c>
      <c r="AD301" s="25">
        <v>1325</v>
      </c>
      <c r="AE301">
        <v>7155</v>
      </c>
      <c r="AF301" t="s">
        <v>198</v>
      </c>
      <c r="AG301" t="s">
        <v>198</v>
      </c>
      <c r="AH301" s="33">
        <v>0.77237995494715783</v>
      </c>
      <c r="AI301" s="12">
        <v>4.6531791907514448E-2</v>
      </c>
      <c r="AJ301">
        <v>0</v>
      </c>
      <c r="AK301">
        <v>0</v>
      </c>
    </row>
    <row r="302" spans="1:37" ht="15.75" x14ac:dyDescent="0.25">
      <c r="A302" s="4">
        <v>301</v>
      </c>
      <c r="B302" s="29" t="s">
        <v>243</v>
      </c>
      <c r="C302" s="5" t="s">
        <v>59</v>
      </c>
      <c r="D302" s="5" t="s">
        <v>72</v>
      </c>
      <c r="E302" s="31">
        <v>11695</v>
      </c>
      <c r="F302" s="4" t="s">
        <v>241</v>
      </c>
      <c r="G302" s="6">
        <v>470</v>
      </c>
      <c r="H302" s="6">
        <v>470</v>
      </c>
      <c r="I302" s="6">
        <v>470</v>
      </c>
      <c r="J302" s="6">
        <v>1410</v>
      </c>
      <c r="K302" s="6">
        <v>470</v>
      </c>
      <c r="L302" s="6">
        <v>470</v>
      </c>
      <c r="M302" s="6">
        <v>470</v>
      </c>
      <c r="N302" s="6">
        <v>1410</v>
      </c>
      <c r="O302" s="6">
        <v>470</v>
      </c>
      <c r="P302" s="6">
        <v>470</v>
      </c>
      <c r="Q302" s="6">
        <v>470</v>
      </c>
      <c r="R302" s="6">
        <v>1410</v>
      </c>
      <c r="S302" s="6">
        <v>470</v>
      </c>
      <c r="T302" s="6">
        <v>470</v>
      </c>
      <c r="U302" s="6">
        <v>470</v>
      </c>
      <c r="V302" s="6">
        <v>1410</v>
      </c>
      <c r="W302" s="6">
        <v>468</v>
      </c>
      <c r="X302" s="6">
        <v>470</v>
      </c>
      <c r="Y302" s="6">
        <v>470</v>
      </c>
      <c r="Z302" s="6">
        <v>1408</v>
      </c>
      <c r="AA302" s="4">
        <v>1410</v>
      </c>
      <c r="AB302" s="25">
        <v>2348</v>
      </c>
      <c r="AC302" s="25">
        <v>2310</v>
      </c>
      <c r="AD302" s="25">
        <v>2350</v>
      </c>
      <c r="AE302">
        <v>12688</v>
      </c>
      <c r="AF302" t="s">
        <v>199</v>
      </c>
      <c r="AG302" t="s">
        <v>198</v>
      </c>
      <c r="AH302" s="33">
        <v>0.43060316023937373</v>
      </c>
      <c r="AI302" s="12">
        <v>5.1584957668832448E-2</v>
      </c>
      <c r="AJ302">
        <v>1</v>
      </c>
      <c r="AK302">
        <v>0</v>
      </c>
    </row>
    <row r="303" spans="1:37" ht="15.75" x14ac:dyDescent="0.25">
      <c r="A303" s="4">
        <v>302</v>
      </c>
      <c r="B303" s="29" t="s">
        <v>243</v>
      </c>
      <c r="C303" s="5" t="s">
        <v>59</v>
      </c>
      <c r="D303" s="5" t="s">
        <v>72</v>
      </c>
      <c r="E303" s="31">
        <v>26428</v>
      </c>
      <c r="F303" s="4" t="s">
        <v>241</v>
      </c>
      <c r="G303" s="6">
        <v>430</v>
      </c>
      <c r="H303" s="6">
        <v>430</v>
      </c>
      <c r="I303" s="6">
        <v>430</v>
      </c>
      <c r="J303" s="6">
        <v>1290</v>
      </c>
      <c r="K303" s="6">
        <v>430</v>
      </c>
      <c r="L303" s="6">
        <v>430</v>
      </c>
      <c r="M303" s="6">
        <v>430</v>
      </c>
      <c r="N303" s="6">
        <v>1290</v>
      </c>
      <c r="O303" s="6">
        <v>430</v>
      </c>
      <c r="P303" s="6">
        <v>430</v>
      </c>
      <c r="Q303" s="6">
        <v>430</v>
      </c>
      <c r="R303" s="6">
        <v>1290</v>
      </c>
      <c r="S303" s="6">
        <v>430</v>
      </c>
      <c r="T303" s="6">
        <v>430</v>
      </c>
      <c r="U303" s="6">
        <v>430</v>
      </c>
      <c r="V303" s="6">
        <v>1290</v>
      </c>
      <c r="W303" s="6">
        <v>430</v>
      </c>
      <c r="X303" s="6">
        <v>430</v>
      </c>
      <c r="Y303" s="6">
        <v>430</v>
      </c>
      <c r="Z303" s="6">
        <v>1290</v>
      </c>
      <c r="AA303" s="4">
        <v>1290</v>
      </c>
      <c r="AB303" s="25">
        <v>2150</v>
      </c>
      <c r="AC303" s="25">
        <v>1890</v>
      </c>
      <c r="AD303" s="25">
        <v>2150</v>
      </c>
      <c r="AE303">
        <v>11610</v>
      </c>
      <c r="AF303" t="s">
        <v>198</v>
      </c>
      <c r="AG303" t="s">
        <v>198</v>
      </c>
      <c r="AH303" s="33">
        <v>0.56244641370116844</v>
      </c>
      <c r="AI303" s="12">
        <v>2.5357682912643946E-2</v>
      </c>
      <c r="AJ303">
        <v>0</v>
      </c>
      <c r="AK303">
        <v>0</v>
      </c>
    </row>
    <row r="304" spans="1:37" ht="15.75" x14ac:dyDescent="0.25">
      <c r="A304" s="4">
        <v>303</v>
      </c>
      <c r="B304" s="29" t="s">
        <v>243</v>
      </c>
      <c r="C304" s="5" t="s">
        <v>59</v>
      </c>
      <c r="D304" s="5" t="s">
        <v>72</v>
      </c>
      <c r="E304" s="31">
        <v>8133</v>
      </c>
      <c r="F304" s="4" t="s">
        <v>241</v>
      </c>
      <c r="G304" s="6">
        <v>170</v>
      </c>
      <c r="H304" s="6">
        <v>170</v>
      </c>
      <c r="I304" s="6">
        <v>170</v>
      </c>
      <c r="J304" s="6">
        <v>510</v>
      </c>
      <c r="K304" s="6">
        <v>170</v>
      </c>
      <c r="L304" s="6">
        <v>170</v>
      </c>
      <c r="M304" s="6">
        <v>170</v>
      </c>
      <c r="N304" s="6">
        <v>510</v>
      </c>
      <c r="O304" s="6">
        <v>170</v>
      </c>
      <c r="P304" s="6">
        <v>170</v>
      </c>
      <c r="Q304" s="6">
        <v>170</v>
      </c>
      <c r="R304" s="6">
        <v>510</v>
      </c>
      <c r="S304" s="6">
        <v>170</v>
      </c>
      <c r="T304" s="6">
        <v>170</v>
      </c>
      <c r="U304" s="6">
        <v>170</v>
      </c>
      <c r="V304" s="6">
        <v>510</v>
      </c>
      <c r="W304" s="6">
        <v>170</v>
      </c>
      <c r="X304" s="6">
        <v>170</v>
      </c>
      <c r="Y304" s="6">
        <v>170</v>
      </c>
      <c r="Z304" s="6">
        <v>510</v>
      </c>
      <c r="AA304" s="4">
        <v>510</v>
      </c>
      <c r="AB304" s="25">
        <v>850</v>
      </c>
      <c r="AC304" s="25">
        <v>884</v>
      </c>
      <c r="AD304" s="25">
        <v>850</v>
      </c>
      <c r="AE304">
        <v>4590</v>
      </c>
      <c r="AF304" t="s">
        <v>198</v>
      </c>
      <c r="AG304" t="s">
        <v>198</v>
      </c>
      <c r="AH304" s="33">
        <v>0.30776373175561134</v>
      </c>
      <c r="AI304" s="12">
        <v>2.4279337532852198E-2</v>
      </c>
      <c r="AJ304">
        <v>0</v>
      </c>
      <c r="AK304">
        <v>0</v>
      </c>
    </row>
    <row r="305" spans="1:37" ht="15.75" x14ac:dyDescent="0.25">
      <c r="A305" s="4">
        <v>304</v>
      </c>
      <c r="B305" s="29" t="s">
        <v>243</v>
      </c>
      <c r="C305" s="5" t="s">
        <v>59</v>
      </c>
      <c r="D305" s="5" t="s">
        <v>72</v>
      </c>
      <c r="E305" s="31">
        <v>7873</v>
      </c>
      <c r="F305" s="4" t="s">
        <v>241</v>
      </c>
      <c r="G305" s="6">
        <v>204</v>
      </c>
      <c r="H305" s="6">
        <v>204</v>
      </c>
      <c r="I305" s="6">
        <v>204</v>
      </c>
      <c r="J305" s="6">
        <v>612</v>
      </c>
      <c r="K305" s="6">
        <v>204</v>
      </c>
      <c r="L305" s="6">
        <v>204</v>
      </c>
      <c r="M305" s="6">
        <v>204</v>
      </c>
      <c r="N305" s="6">
        <v>612</v>
      </c>
      <c r="O305" s="6">
        <v>204</v>
      </c>
      <c r="P305" s="6">
        <v>204</v>
      </c>
      <c r="Q305" s="6">
        <v>204</v>
      </c>
      <c r="R305" s="6">
        <v>612</v>
      </c>
      <c r="S305" s="6">
        <v>204</v>
      </c>
      <c r="T305" s="6">
        <v>204</v>
      </c>
      <c r="U305" s="6">
        <v>204</v>
      </c>
      <c r="V305" s="6">
        <v>612</v>
      </c>
      <c r="W305" s="6">
        <v>204</v>
      </c>
      <c r="X305" s="6">
        <v>204</v>
      </c>
      <c r="Y305" s="6">
        <v>204</v>
      </c>
      <c r="Z305" s="6">
        <v>612</v>
      </c>
      <c r="AA305" s="4">
        <v>612</v>
      </c>
      <c r="AB305" s="25">
        <v>1020</v>
      </c>
      <c r="AC305" s="25">
        <v>1266</v>
      </c>
      <c r="AD305" s="25">
        <v>1020</v>
      </c>
      <c r="AE305">
        <v>5508</v>
      </c>
      <c r="AF305" t="s">
        <v>198</v>
      </c>
      <c r="AG305" t="s">
        <v>198</v>
      </c>
      <c r="AH305" s="33">
        <v>0.33052030726982717</v>
      </c>
      <c r="AI305" s="12" t="e">
        <v>#N/A</v>
      </c>
      <c r="AJ305">
        <v>2</v>
      </c>
      <c r="AK305">
        <v>0</v>
      </c>
    </row>
    <row r="306" spans="1:37" ht="15.75" x14ac:dyDescent="0.25">
      <c r="A306" s="4">
        <v>305</v>
      </c>
      <c r="B306" s="29" t="s">
        <v>243</v>
      </c>
      <c r="C306" s="5" t="s">
        <v>59</v>
      </c>
      <c r="D306" s="5" t="s">
        <v>73</v>
      </c>
      <c r="E306" s="31">
        <v>8039</v>
      </c>
      <c r="F306" s="4" t="s">
        <v>240</v>
      </c>
      <c r="G306" s="6">
        <v>450</v>
      </c>
      <c r="H306" s="6">
        <v>450</v>
      </c>
      <c r="I306" s="6">
        <v>450</v>
      </c>
      <c r="J306" s="6">
        <v>1350</v>
      </c>
      <c r="K306" s="6">
        <v>450</v>
      </c>
      <c r="L306" s="6">
        <v>450</v>
      </c>
      <c r="M306" s="6">
        <v>450</v>
      </c>
      <c r="N306" s="6">
        <v>1350</v>
      </c>
      <c r="O306" s="6">
        <v>450</v>
      </c>
      <c r="P306" s="6">
        <v>450</v>
      </c>
      <c r="Q306" s="6">
        <v>450</v>
      </c>
      <c r="R306" s="6">
        <v>1350</v>
      </c>
      <c r="S306" s="6">
        <v>450</v>
      </c>
      <c r="T306" s="6">
        <v>450</v>
      </c>
      <c r="U306" s="6">
        <v>450</v>
      </c>
      <c r="V306" s="6">
        <v>1350</v>
      </c>
      <c r="W306" s="6">
        <v>450</v>
      </c>
      <c r="X306" s="6">
        <v>450</v>
      </c>
      <c r="Y306" s="6">
        <v>450</v>
      </c>
      <c r="Z306" s="6">
        <v>1350</v>
      </c>
      <c r="AA306" s="4">
        <v>1350</v>
      </c>
      <c r="AB306" s="25">
        <v>2250</v>
      </c>
      <c r="AC306" s="25">
        <v>2002</v>
      </c>
      <c r="AD306" s="25">
        <v>2250</v>
      </c>
      <c r="AE306">
        <v>12150</v>
      </c>
      <c r="AF306" t="s">
        <v>198</v>
      </c>
      <c r="AG306" t="s">
        <v>198</v>
      </c>
      <c r="AH306" s="33">
        <v>0.14165773022918349</v>
      </c>
      <c r="AI306" s="12">
        <v>0</v>
      </c>
      <c r="AJ306">
        <v>0</v>
      </c>
      <c r="AK306">
        <v>0</v>
      </c>
    </row>
    <row r="307" spans="1:37" ht="15.75" x14ac:dyDescent="0.25">
      <c r="A307" s="4">
        <v>306</v>
      </c>
      <c r="B307" s="29" t="s">
        <v>243</v>
      </c>
      <c r="C307" s="5" t="s">
        <v>59</v>
      </c>
      <c r="D307" s="5" t="s">
        <v>74</v>
      </c>
      <c r="E307" s="31">
        <v>8208</v>
      </c>
      <c r="F307" s="4" t="s">
        <v>241</v>
      </c>
      <c r="G307" s="6">
        <v>202</v>
      </c>
      <c r="H307" s="6">
        <v>202</v>
      </c>
      <c r="I307" s="6">
        <v>202</v>
      </c>
      <c r="J307" s="6">
        <v>606</v>
      </c>
      <c r="K307" s="6">
        <v>202</v>
      </c>
      <c r="L307" s="6">
        <v>202</v>
      </c>
      <c r="M307" s="6">
        <v>202</v>
      </c>
      <c r="N307" s="6">
        <v>606</v>
      </c>
      <c r="O307" s="6">
        <v>202</v>
      </c>
      <c r="P307" s="6">
        <v>202</v>
      </c>
      <c r="Q307" s="6">
        <v>202</v>
      </c>
      <c r="R307" s="6">
        <v>606</v>
      </c>
      <c r="S307" s="6">
        <v>202</v>
      </c>
      <c r="T307" s="6">
        <v>202</v>
      </c>
      <c r="U307" s="6">
        <v>202</v>
      </c>
      <c r="V307" s="6">
        <v>606</v>
      </c>
      <c r="W307" s="6">
        <v>202</v>
      </c>
      <c r="X307" s="6">
        <v>202</v>
      </c>
      <c r="Y307" s="6">
        <v>202</v>
      </c>
      <c r="Z307" s="6">
        <v>606</v>
      </c>
      <c r="AA307" s="4">
        <v>606</v>
      </c>
      <c r="AB307" s="25">
        <v>1010</v>
      </c>
      <c r="AC307" s="25">
        <v>1091</v>
      </c>
      <c r="AD307" s="25">
        <v>1010</v>
      </c>
      <c r="AE307">
        <v>5454</v>
      </c>
      <c r="AF307" t="s">
        <v>198</v>
      </c>
      <c r="AG307" t="s">
        <v>198</v>
      </c>
      <c r="AH307" s="33">
        <v>7.6203690947840075E-2</v>
      </c>
      <c r="AI307" s="12">
        <v>1.7072525145579671E-2</v>
      </c>
      <c r="AJ307">
        <v>1</v>
      </c>
      <c r="AK307">
        <v>0</v>
      </c>
    </row>
    <row r="308" spans="1:37" ht="15.75" x14ac:dyDescent="0.25">
      <c r="A308" s="4">
        <v>307</v>
      </c>
      <c r="B308" s="29" t="s">
        <v>243</v>
      </c>
      <c r="C308" s="5" t="s">
        <v>59</v>
      </c>
      <c r="D308" s="5" t="s">
        <v>74</v>
      </c>
      <c r="E308" s="31">
        <v>8002</v>
      </c>
      <c r="F308" s="4" t="s">
        <v>241</v>
      </c>
      <c r="G308" s="6">
        <v>283</v>
      </c>
      <c r="H308" s="6">
        <v>283</v>
      </c>
      <c r="I308" s="6">
        <v>283</v>
      </c>
      <c r="J308" s="6">
        <v>849</v>
      </c>
      <c r="K308" s="6">
        <v>283</v>
      </c>
      <c r="L308" s="6">
        <v>283</v>
      </c>
      <c r="M308" s="6">
        <v>283</v>
      </c>
      <c r="N308" s="6">
        <v>849</v>
      </c>
      <c r="O308" s="6">
        <v>283</v>
      </c>
      <c r="P308" s="6">
        <v>283</v>
      </c>
      <c r="Q308" s="6">
        <v>283</v>
      </c>
      <c r="R308" s="6">
        <v>849</v>
      </c>
      <c r="S308" s="6">
        <v>283</v>
      </c>
      <c r="T308" s="6">
        <v>283</v>
      </c>
      <c r="U308" s="6">
        <v>283</v>
      </c>
      <c r="V308" s="6">
        <v>849</v>
      </c>
      <c r="W308" s="6">
        <v>283</v>
      </c>
      <c r="X308" s="6">
        <v>283</v>
      </c>
      <c r="Y308" s="6">
        <v>283</v>
      </c>
      <c r="Z308" s="6">
        <v>849</v>
      </c>
      <c r="AA308" s="4">
        <v>849</v>
      </c>
      <c r="AB308" s="25">
        <v>1415</v>
      </c>
      <c r="AC308" s="25">
        <v>1360</v>
      </c>
      <c r="AD308" s="25">
        <v>1415</v>
      </c>
      <c r="AE308">
        <v>7641</v>
      </c>
      <c r="AF308" t="s">
        <v>198</v>
      </c>
      <c r="AG308" t="s">
        <v>198</v>
      </c>
      <c r="AH308" s="33">
        <v>0.13374954856602594</v>
      </c>
      <c r="AI308" s="12">
        <v>2.3746424916690718E-2</v>
      </c>
      <c r="AJ308">
        <v>0</v>
      </c>
      <c r="AK308">
        <v>0</v>
      </c>
    </row>
    <row r="309" spans="1:37" ht="15.75" x14ac:dyDescent="0.25">
      <c r="A309" s="4">
        <v>308</v>
      </c>
      <c r="B309" s="29" t="s">
        <v>243</v>
      </c>
      <c r="C309" s="5" t="s">
        <v>59</v>
      </c>
      <c r="D309" s="5" t="s">
        <v>74</v>
      </c>
      <c r="E309" s="31">
        <v>8228</v>
      </c>
      <c r="F309" s="4" t="s">
        <v>241</v>
      </c>
      <c r="G309" s="6">
        <v>228</v>
      </c>
      <c r="H309" s="6">
        <v>228</v>
      </c>
      <c r="I309" s="6">
        <v>228</v>
      </c>
      <c r="J309" s="6">
        <v>684</v>
      </c>
      <c r="K309" s="6">
        <v>228</v>
      </c>
      <c r="L309" s="6">
        <v>228</v>
      </c>
      <c r="M309" s="6">
        <v>228</v>
      </c>
      <c r="N309" s="6">
        <v>684</v>
      </c>
      <c r="O309" s="6">
        <v>228</v>
      </c>
      <c r="P309" s="6">
        <v>228</v>
      </c>
      <c r="Q309" s="6">
        <v>228</v>
      </c>
      <c r="R309" s="6">
        <v>684</v>
      </c>
      <c r="S309" s="6">
        <v>228</v>
      </c>
      <c r="T309" s="6">
        <v>228</v>
      </c>
      <c r="U309" s="6">
        <v>228</v>
      </c>
      <c r="V309" s="6">
        <v>684</v>
      </c>
      <c r="W309" s="6">
        <v>228</v>
      </c>
      <c r="X309" s="6">
        <v>228</v>
      </c>
      <c r="Y309" s="6">
        <v>228</v>
      </c>
      <c r="Z309" s="6">
        <v>684</v>
      </c>
      <c r="AA309" s="4">
        <v>684</v>
      </c>
      <c r="AB309" s="25">
        <v>1140</v>
      </c>
      <c r="AC309" s="25">
        <v>1122</v>
      </c>
      <c r="AD309" s="25">
        <v>1140</v>
      </c>
      <c r="AE309">
        <v>6156</v>
      </c>
      <c r="AF309" t="s">
        <v>198</v>
      </c>
      <c r="AG309" t="s">
        <v>199</v>
      </c>
      <c r="AH309" s="33">
        <v>0.60194911313071209</v>
      </c>
      <c r="AI309" s="12">
        <v>2.0519649014988563E-2</v>
      </c>
      <c r="AJ309">
        <v>1</v>
      </c>
      <c r="AK309">
        <v>0</v>
      </c>
    </row>
    <row r="310" spans="1:37" ht="15.75" x14ac:dyDescent="0.25">
      <c r="A310" s="4">
        <v>309</v>
      </c>
      <c r="B310" s="29" t="s">
        <v>243</v>
      </c>
      <c r="C310" s="5" t="s">
        <v>59</v>
      </c>
      <c r="D310" s="5" t="s">
        <v>74</v>
      </c>
      <c r="E310" s="31">
        <v>14425</v>
      </c>
      <c r="F310" s="4" t="s">
        <v>241</v>
      </c>
      <c r="G310" s="6">
        <v>210</v>
      </c>
      <c r="H310" s="6">
        <v>210</v>
      </c>
      <c r="I310" s="6">
        <v>210</v>
      </c>
      <c r="J310" s="6">
        <v>630</v>
      </c>
      <c r="K310" s="6">
        <v>210</v>
      </c>
      <c r="L310" s="6">
        <v>210</v>
      </c>
      <c r="M310" s="6">
        <v>210</v>
      </c>
      <c r="N310" s="6">
        <v>630</v>
      </c>
      <c r="O310" s="6">
        <v>210</v>
      </c>
      <c r="P310" s="6">
        <v>210</v>
      </c>
      <c r="Q310" s="6">
        <v>210</v>
      </c>
      <c r="R310" s="6">
        <v>630</v>
      </c>
      <c r="S310" s="6">
        <v>210</v>
      </c>
      <c r="T310" s="6">
        <v>210</v>
      </c>
      <c r="U310" s="6">
        <v>210</v>
      </c>
      <c r="V310" s="6">
        <v>630</v>
      </c>
      <c r="W310" s="6">
        <v>210</v>
      </c>
      <c r="X310" s="6">
        <v>210</v>
      </c>
      <c r="Y310" s="6">
        <v>210</v>
      </c>
      <c r="Z310" s="6">
        <v>630</v>
      </c>
      <c r="AA310" s="4">
        <v>630</v>
      </c>
      <c r="AB310" s="25">
        <v>1050</v>
      </c>
      <c r="AC310" s="25">
        <v>1040</v>
      </c>
      <c r="AD310" s="25">
        <v>1050</v>
      </c>
      <c r="AE310">
        <v>5670</v>
      </c>
      <c r="AF310" t="s">
        <v>199</v>
      </c>
      <c r="AG310" t="s">
        <v>199</v>
      </c>
      <c r="AH310" s="33">
        <v>0.89092709120860591</v>
      </c>
      <c r="AI310" s="12">
        <v>0</v>
      </c>
      <c r="AJ310">
        <v>0</v>
      </c>
      <c r="AK310">
        <v>0</v>
      </c>
    </row>
    <row r="311" spans="1:37" ht="15.75" x14ac:dyDescent="0.25">
      <c r="A311" s="4">
        <v>310</v>
      </c>
      <c r="B311" s="29" t="s">
        <v>243</v>
      </c>
      <c r="C311" s="5" t="s">
        <v>59</v>
      </c>
      <c r="D311" s="5" t="s">
        <v>74</v>
      </c>
      <c r="E311" s="31">
        <v>2764</v>
      </c>
      <c r="F311" s="4" t="s">
        <v>241</v>
      </c>
      <c r="G311" s="6">
        <v>200</v>
      </c>
      <c r="H311" s="6">
        <v>200</v>
      </c>
      <c r="I311" s="6">
        <v>200</v>
      </c>
      <c r="J311" s="6">
        <v>600</v>
      </c>
      <c r="K311" s="6">
        <v>200</v>
      </c>
      <c r="L311" s="6">
        <v>200</v>
      </c>
      <c r="M311" s="6">
        <v>200</v>
      </c>
      <c r="N311" s="6">
        <v>600</v>
      </c>
      <c r="O311" s="6">
        <v>200</v>
      </c>
      <c r="P311" s="6">
        <v>200</v>
      </c>
      <c r="Q311" s="6">
        <v>200</v>
      </c>
      <c r="R311" s="6">
        <v>600</v>
      </c>
      <c r="S311" s="6">
        <v>200</v>
      </c>
      <c r="T311" s="6">
        <v>200</v>
      </c>
      <c r="U311" s="6">
        <v>200</v>
      </c>
      <c r="V311" s="6">
        <v>600</v>
      </c>
      <c r="W311" s="6">
        <v>200</v>
      </c>
      <c r="X311" s="6">
        <v>200</v>
      </c>
      <c r="Y311" s="6">
        <v>200</v>
      </c>
      <c r="Z311" s="6">
        <v>600</v>
      </c>
      <c r="AA311" s="4">
        <v>600</v>
      </c>
      <c r="AB311" s="25">
        <v>1000</v>
      </c>
      <c r="AC311" s="25">
        <v>1340</v>
      </c>
      <c r="AD311" s="25">
        <v>1000</v>
      </c>
      <c r="AE311">
        <v>5400</v>
      </c>
      <c r="AF311" t="s">
        <v>198</v>
      </c>
      <c r="AG311" t="s">
        <v>199</v>
      </c>
      <c r="AH311" s="33">
        <v>0.53026846254361837</v>
      </c>
      <c r="AI311" s="12">
        <v>1.756311745334797E-2</v>
      </c>
      <c r="AJ311">
        <v>0</v>
      </c>
      <c r="AK311">
        <v>0</v>
      </c>
    </row>
    <row r="312" spans="1:37" ht="15.75" x14ac:dyDescent="0.25">
      <c r="A312" s="4">
        <v>311</v>
      </c>
      <c r="B312" s="29" t="s">
        <v>243</v>
      </c>
      <c r="C312" s="5" t="s">
        <v>59</v>
      </c>
      <c r="D312" s="5" t="s">
        <v>74</v>
      </c>
      <c r="E312" s="31">
        <v>26801</v>
      </c>
      <c r="F312" s="4" t="s">
        <v>241</v>
      </c>
      <c r="G312" s="6">
        <v>540</v>
      </c>
      <c r="H312" s="6">
        <v>540</v>
      </c>
      <c r="I312" s="6">
        <v>540</v>
      </c>
      <c r="J312" s="6">
        <v>1620</v>
      </c>
      <c r="K312" s="6">
        <v>540</v>
      </c>
      <c r="L312" s="6">
        <v>540</v>
      </c>
      <c r="M312" s="6">
        <v>540</v>
      </c>
      <c r="N312" s="6">
        <v>1620</v>
      </c>
      <c r="O312" s="6">
        <v>540</v>
      </c>
      <c r="P312" s="6">
        <v>540</v>
      </c>
      <c r="Q312" s="6">
        <v>540</v>
      </c>
      <c r="R312" s="6">
        <v>1620</v>
      </c>
      <c r="S312" s="6">
        <v>540</v>
      </c>
      <c r="T312" s="6">
        <v>540</v>
      </c>
      <c r="U312" s="6">
        <v>540</v>
      </c>
      <c r="V312" s="6">
        <v>1620</v>
      </c>
      <c r="W312" s="6">
        <v>540</v>
      </c>
      <c r="X312" s="6">
        <v>540</v>
      </c>
      <c r="Y312" s="6">
        <v>540</v>
      </c>
      <c r="Z312" s="6">
        <v>1620</v>
      </c>
      <c r="AA312" s="4">
        <v>1620</v>
      </c>
      <c r="AB312" s="25">
        <v>2700</v>
      </c>
      <c r="AC312" s="25">
        <v>2385</v>
      </c>
      <c r="AD312" s="25">
        <v>2700</v>
      </c>
      <c r="AE312">
        <v>14580</v>
      </c>
      <c r="AF312" t="s">
        <v>199</v>
      </c>
      <c r="AG312" t="s">
        <v>199</v>
      </c>
      <c r="AH312" s="33">
        <v>0.3458059696324669</v>
      </c>
      <c r="AI312" s="12">
        <v>2.9674369747899158E-2</v>
      </c>
      <c r="AJ312">
        <v>0</v>
      </c>
      <c r="AK312">
        <v>0</v>
      </c>
    </row>
    <row r="313" spans="1:37" ht="15.75" x14ac:dyDescent="0.25">
      <c r="A313" s="4">
        <v>312</v>
      </c>
      <c r="B313" s="29" t="s">
        <v>243</v>
      </c>
      <c r="C313" s="5" t="s">
        <v>59</v>
      </c>
      <c r="D313" s="5" t="s">
        <v>74</v>
      </c>
      <c r="E313" s="31">
        <v>8553</v>
      </c>
      <c r="F313" s="4" t="s">
        <v>241</v>
      </c>
      <c r="G313" s="6">
        <v>225</v>
      </c>
      <c r="H313" s="6">
        <v>225</v>
      </c>
      <c r="I313" s="6">
        <v>225</v>
      </c>
      <c r="J313" s="6">
        <v>675</v>
      </c>
      <c r="K313" s="6">
        <v>225</v>
      </c>
      <c r="L313" s="6">
        <v>225</v>
      </c>
      <c r="M313" s="6">
        <v>225</v>
      </c>
      <c r="N313" s="6">
        <v>675</v>
      </c>
      <c r="O313" s="6">
        <v>225</v>
      </c>
      <c r="P313" s="6">
        <v>225</v>
      </c>
      <c r="Q313" s="6">
        <v>225</v>
      </c>
      <c r="R313" s="6">
        <v>675</v>
      </c>
      <c r="S313" s="6">
        <v>225</v>
      </c>
      <c r="T313" s="6">
        <v>225</v>
      </c>
      <c r="U313" s="6">
        <v>225</v>
      </c>
      <c r="V313" s="6">
        <v>675</v>
      </c>
      <c r="W313" s="6">
        <v>225</v>
      </c>
      <c r="X313" s="6">
        <v>225</v>
      </c>
      <c r="Y313" s="6">
        <v>225</v>
      </c>
      <c r="Z313" s="6">
        <v>675</v>
      </c>
      <c r="AA313" s="4">
        <v>675</v>
      </c>
      <c r="AB313" s="25">
        <v>1125</v>
      </c>
      <c r="AC313" s="25">
        <v>1120</v>
      </c>
      <c r="AD313" s="25">
        <v>1125</v>
      </c>
      <c r="AE313">
        <v>6075</v>
      </c>
      <c r="AF313" t="s">
        <v>198</v>
      </c>
      <c r="AG313" t="s">
        <v>199</v>
      </c>
      <c r="AH313" s="33">
        <v>0.20293406497585109</v>
      </c>
      <c r="AI313" s="12" t="e">
        <v>#N/A</v>
      </c>
      <c r="AJ313">
        <v>0</v>
      </c>
      <c r="AK313">
        <v>0</v>
      </c>
    </row>
    <row r="314" spans="1:37" ht="15.75" x14ac:dyDescent="0.25">
      <c r="A314" s="4">
        <v>313</v>
      </c>
      <c r="B314" s="5" t="s">
        <v>237</v>
      </c>
      <c r="C314" s="5" t="s">
        <v>59</v>
      </c>
      <c r="D314" s="5" t="s">
        <v>74</v>
      </c>
      <c r="E314" s="31">
        <v>7993</v>
      </c>
      <c r="F314" s="4" t="s">
        <v>240</v>
      </c>
      <c r="G314" s="6">
        <v>220</v>
      </c>
      <c r="H314" s="6">
        <v>220</v>
      </c>
      <c r="I314" s="6">
        <v>220</v>
      </c>
      <c r="J314" s="6">
        <v>660</v>
      </c>
      <c r="K314" s="6">
        <v>220</v>
      </c>
      <c r="L314" s="6">
        <v>220</v>
      </c>
      <c r="M314" s="6">
        <v>220</v>
      </c>
      <c r="N314" s="6">
        <v>660</v>
      </c>
      <c r="O314" s="6">
        <v>220</v>
      </c>
      <c r="P314" s="6">
        <v>220</v>
      </c>
      <c r="Q314" s="6">
        <v>220</v>
      </c>
      <c r="R314" s="6">
        <v>660</v>
      </c>
      <c r="S314" s="6">
        <v>220</v>
      </c>
      <c r="T314" s="6">
        <v>220</v>
      </c>
      <c r="U314" s="6">
        <v>220</v>
      </c>
      <c r="V314" s="6">
        <v>660</v>
      </c>
      <c r="W314" s="6">
        <v>220</v>
      </c>
      <c r="X314" s="6">
        <v>220</v>
      </c>
      <c r="Y314" s="6">
        <v>220</v>
      </c>
      <c r="Z314" s="6">
        <v>660</v>
      </c>
      <c r="AA314" s="4">
        <v>660</v>
      </c>
      <c r="AB314" s="25">
        <v>1100</v>
      </c>
      <c r="AC314" s="25">
        <v>1180</v>
      </c>
      <c r="AD314" s="25">
        <v>1100</v>
      </c>
      <c r="AE314">
        <v>5940</v>
      </c>
      <c r="AF314" t="s">
        <v>198</v>
      </c>
      <c r="AG314" t="s">
        <v>199</v>
      </c>
      <c r="AH314" s="33">
        <v>0.64319121438886495</v>
      </c>
      <c r="AI314" s="12">
        <v>1.916644064731941E-2</v>
      </c>
      <c r="AJ314">
        <v>1</v>
      </c>
      <c r="AK314">
        <v>0</v>
      </c>
    </row>
    <row r="315" spans="1:37" ht="15.75" x14ac:dyDescent="0.25">
      <c r="A315" s="4">
        <v>314</v>
      </c>
      <c r="B315" s="5" t="s">
        <v>237</v>
      </c>
      <c r="C315" s="5" t="s">
        <v>59</v>
      </c>
      <c r="D315" s="5" t="s">
        <v>74</v>
      </c>
      <c r="E315" s="31">
        <v>85</v>
      </c>
      <c r="F315" s="4" t="s">
        <v>241</v>
      </c>
      <c r="G315" s="6">
        <v>300</v>
      </c>
      <c r="H315" s="6">
        <v>300</v>
      </c>
      <c r="I315" s="6">
        <v>300</v>
      </c>
      <c r="J315" s="6">
        <v>900</v>
      </c>
      <c r="K315" s="6">
        <v>300</v>
      </c>
      <c r="L315" s="6">
        <v>300</v>
      </c>
      <c r="M315" s="6">
        <v>300</v>
      </c>
      <c r="N315" s="6">
        <v>900</v>
      </c>
      <c r="O315" s="6">
        <v>300</v>
      </c>
      <c r="P315" s="6">
        <v>300</v>
      </c>
      <c r="Q315" s="6">
        <v>300</v>
      </c>
      <c r="R315" s="6">
        <v>900</v>
      </c>
      <c r="S315" s="6">
        <v>300</v>
      </c>
      <c r="T315" s="6">
        <v>300</v>
      </c>
      <c r="U315" s="6">
        <v>300</v>
      </c>
      <c r="V315" s="6">
        <v>900</v>
      </c>
      <c r="W315" s="6">
        <v>300</v>
      </c>
      <c r="X315" s="6">
        <v>300</v>
      </c>
      <c r="Y315" s="6">
        <v>300</v>
      </c>
      <c r="Z315" s="6">
        <v>900</v>
      </c>
      <c r="AA315" s="4">
        <v>900</v>
      </c>
      <c r="AB315" s="25">
        <v>1500</v>
      </c>
      <c r="AC315" s="25">
        <v>1390</v>
      </c>
      <c r="AD315" s="25">
        <v>1500</v>
      </c>
      <c r="AE315">
        <v>8100</v>
      </c>
      <c r="AF315" t="s">
        <v>198</v>
      </c>
      <c r="AG315" t="s">
        <v>199</v>
      </c>
      <c r="AH315" s="33">
        <v>0.41983846355891852</v>
      </c>
      <c r="AI315" s="12">
        <v>2.0643403541863146E-2</v>
      </c>
      <c r="AJ315">
        <v>1</v>
      </c>
      <c r="AK315">
        <v>0</v>
      </c>
    </row>
    <row r="316" spans="1:37" ht="15.75" x14ac:dyDescent="0.25">
      <c r="A316" s="4">
        <v>315</v>
      </c>
      <c r="B316" s="5" t="s">
        <v>237</v>
      </c>
      <c r="C316" s="5" t="s">
        <v>59</v>
      </c>
      <c r="D316" s="5" t="s">
        <v>74</v>
      </c>
      <c r="E316" s="31">
        <v>37100</v>
      </c>
      <c r="F316" s="4" t="s">
        <v>241</v>
      </c>
      <c r="G316" s="6">
        <v>190</v>
      </c>
      <c r="H316" s="6">
        <v>190</v>
      </c>
      <c r="I316" s="6">
        <v>190</v>
      </c>
      <c r="J316" s="6">
        <v>570</v>
      </c>
      <c r="K316" s="6">
        <v>190</v>
      </c>
      <c r="L316" s="6">
        <v>190</v>
      </c>
      <c r="M316" s="6">
        <v>190</v>
      </c>
      <c r="N316" s="6">
        <v>570</v>
      </c>
      <c r="O316" s="6">
        <v>190</v>
      </c>
      <c r="P316" s="6">
        <v>190</v>
      </c>
      <c r="Q316" s="6">
        <v>190</v>
      </c>
      <c r="R316" s="6">
        <v>570</v>
      </c>
      <c r="S316" s="6">
        <v>190</v>
      </c>
      <c r="T316" s="6">
        <v>190</v>
      </c>
      <c r="U316" s="6">
        <v>190</v>
      </c>
      <c r="V316" s="6">
        <v>570</v>
      </c>
      <c r="W316" s="6">
        <v>190</v>
      </c>
      <c r="X316" s="6">
        <v>190</v>
      </c>
      <c r="Y316" s="6">
        <v>190</v>
      </c>
      <c r="Z316" s="6">
        <v>570</v>
      </c>
      <c r="AA316" s="4">
        <v>570</v>
      </c>
      <c r="AB316" s="25">
        <v>950</v>
      </c>
      <c r="AC316" s="25">
        <v>907</v>
      </c>
      <c r="AD316" s="25">
        <v>950</v>
      </c>
      <c r="AE316">
        <v>5130</v>
      </c>
      <c r="AF316" t="s">
        <v>199</v>
      </c>
      <c r="AG316" t="s">
        <v>199</v>
      </c>
      <c r="AH316" s="33">
        <v>0.41511136880313237</v>
      </c>
      <c r="AI316" s="12">
        <v>3.3116331729408435E-2</v>
      </c>
      <c r="AJ316">
        <v>1</v>
      </c>
      <c r="AK316">
        <v>0</v>
      </c>
    </row>
    <row r="317" spans="1:37" ht="15.75" x14ac:dyDescent="0.25">
      <c r="A317" s="4">
        <v>316</v>
      </c>
      <c r="B317" s="5" t="s">
        <v>237</v>
      </c>
      <c r="C317" s="5" t="s">
        <v>59</v>
      </c>
      <c r="D317" s="5" t="s">
        <v>75</v>
      </c>
      <c r="E317" s="31">
        <v>8567</v>
      </c>
      <c r="F317" s="4" t="s">
        <v>241</v>
      </c>
      <c r="G317" s="6">
        <v>147</v>
      </c>
      <c r="H317" s="6">
        <v>147</v>
      </c>
      <c r="I317" s="6">
        <v>147</v>
      </c>
      <c r="J317" s="6">
        <v>441</v>
      </c>
      <c r="K317" s="6">
        <v>147</v>
      </c>
      <c r="L317" s="6">
        <v>147</v>
      </c>
      <c r="M317" s="6">
        <v>147</v>
      </c>
      <c r="N317" s="6">
        <v>441</v>
      </c>
      <c r="O317" s="6">
        <v>147</v>
      </c>
      <c r="P317" s="6">
        <v>147</v>
      </c>
      <c r="Q317" s="6">
        <v>147</v>
      </c>
      <c r="R317" s="6">
        <v>441</v>
      </c>
      <c r="S317" s="6">
        <v>147</v>
      </c>
      <c r="T317" s="6">
        <v>147</v>
      </c>
      <c r="U317" s="6">
        <v>147</v>
      </c>
      <c r="V317" s="6">
        <v>441</v>
      </c>
      <c r="W317" s="6">
        <v>147</v>
      </c>
      <c r="X317" s="6">
        <v>147</v>
      </c>
      <c r="Y317" s="6">
        <v>147</v>
      </c>
      <c r="Z317" s="6">
        <v>441</v>
      </c>
      <c r="AA317" s="4">
        <v>441</v>
      </c>
      <c r="AB317" s="25">
        <v>735</v>
      </c>
      <c r="AC317" s="25">
        <v>838</v>
      </c>
      <c r="AD317" s="25">
        <v>735</v>
      </c>
      <c r="AE317">
        <v>3969</v>
      </c>
      <c r="AF317" t="s">
        <v>198</v>
      </c>
      <c r="AG317" t="s">
        <v>198</v>
      </c>
      <c r="AH317" s="33">
        <v>0.37552441796872005</v>
      </c>
      <c r="AI317" s="12" t="e">
        <v>#N/A</v>
      </c>
      <c r="AJ317">
        <v>0</v>
      </c>
      <c r="AK317">
        <v>0</v>
      </c>
    </row>
    <row r="318" spans="1:37" ht="15.75" x14ac:dyDescent="0.25">
      <c r="A318" s="4">
        <v>317</v>
      </c>
      <c r="B318" s="5" t="s">
        <v>237</v>
      </c>
      <c r="C318" s="5" t="s">
        <v>59</v>
      </c>
      <c r="D318" s="5" t="s">
        <v>75</v>
      </c>
      <c r="E318" s="31">
        <v>4595</v>
      </c>
      <c r="F318" s="4" t="s">
        <v>241</v>
      </c>
      <c r="G318" s="6">
        <v>250</v>
      </c>
      <c r="H318" s="6">
        <v>250</v>
      </c>
      <c r="I318" s="6">
        <v>250</v>
      </c>
      <c r="J318" s="6">
        <v>750</v>
      </c>
      <c r="K318" s="6">
        <v>250</v>
      </c>
      <c r="L318" s="6">
        <v>250</v>
      </c>
      <c r="M318" s="6">
        <v>250</v>
      </c>
      <c r="N318" s="6">
        <v>750</v>
      </c>
      <c r="O318" s="6">
        <v>250</v>
      </c>
      <c r="P318" s="6">
        <v>250</v>
      </c>
      <c r="Q318" s="6">
        <v>250</v>
      </c>
      <c r="R318" s="6">
        <v>750</v>
      </c>
      <c r="S318" s="6">
        <v>250</v>
      </c>
      <c r="T318" s="6">
        <v>250</v>
      </c>
      <c r="U318" s="6">
        <v>250</v>
      </c>
      <c r="V318" s="6">
        <v>750</v>
      </c>
      <c r="W318" s="6">
        <v>250</v>
      </c>
      <c r="X318" s="6">
        <v>250</v>
      </c>
      <c r="Y318" s="6">
        <v>250</v>
      </c>
      <c r="Z318" s="6">
        <v>750</v>
      </c>
      <c r="AA318" s="4">
        <v>750</v>
      </c>
      <c r="AB318" s="25">
        <v>1250</v>
      </c>
      <c r="AC318" s="25">
        <v>1500</v>
      </c>
      <c r="AD318" s="25">
        <v>1250</v>
      </c>
      <c r="AE318">
        <v>6750</v>
      </c>
      <c r="AF318" t="s">
        <v>199</v>
      </c>
      <c r="AG318" t="s">
        <v>198</v>
      </c>
      <c r="AH318" s="33">
        <v>0.72232165548926319</v>
      </c>
      <c r="AI318" s="12">
        <v>0</v>
      </c>
      <c r="AJ318">
        <v>0</v>
      </c>
      <c r="AK318">
        <v>0</v>
      </c>
    </row>
    <row r="319" spans="1:37" ht="15.75" x14ac:dyDescent="0.25">
      <c r="A319" s="4">
        <v>318</v>
      </c>
      <c r="B319" s="5" t="s">
        <v>237</v>
      </c>
      <c r="C319" s="5" t="s">
        <v>59</v>
      </c>
      <c r="D319" s="5" t="s">
        <v>75</v>
      </c>
      <c r="E319" s="31">
        <v>28854</v>
      </c>
      <c r="F319" s="4" t="s">
        <v>241</v>
      </c>
      <c r="G319" s="6">
        <v>500</v>
      </c>
      <c r="H319" s="6">
        <v>500</v>
      </c>
      <c r="I319" s="6">
        <v>500</v>
      </c>
      <c r="J319" s="6">
        <v>1500</v>
      </c>
      <c r="K319" s="6">
        <v>500</v>
      </c>
      <c r="L319" s="6">
        <v>500</v>
      </c>
      <c r="M319" s="6">
        <v>500</v>
      </c>
      <c r="N319" s="6">
        <v>1500</v>
      </c>
      <c r="O319" s="6">
        <v>500</v>
      </c>
      <c r="P319" s="6">
        <v>500</v>
      </c>
      <c r="Q319" s="6">
        <v>500</v>
      </c>
      <c r="R319" s="6">
        <v>1500</v>
      </c>
      <c r="S319" s="6">
        <v>500</v>
      </c>
      <c r="T319" s="6">
        <v>500</v>
      </c>
      <c r="U319" s="6">
        <v>500</v>
      </c>
      <c r="V319" s="6">
        <v>1500</v>
      </c>
      <c r="W319" s="6">
        <v>500</v>
      </c>
      <c r="X319" s="6">
        <v>500</v>
      </c>
      <c r="Y319" s="6">
        <v>500</v>
      </c>
      <c r="Z319" s="6">
        <v>1500</v>
      </c>
      <c r="AA319" s="4">
        <v>1500</v>
      </c>
      <c r="AB319" s="25">
        <v>2500</v>
      </c>
      <c r="AC319" s="25">
        <v>2275</v>
      </c>
      <c r="AD319" s="25">
        <v>2500</v>
      </c>
      <c r="AE319">
        <v>13500</v>
      </c>
      <c r="AF319" t="s">
        <v>198</v>
      </c>
      <c r="AG319" t="s">
        <v>198</v>
      </c>
      <c r="AH319" s="33">
        <v>0.73041830675873121</v>
      </c>
      <c r="AI319" s="12" t="e">
        <v>#N/A</v>
      </c>
      <c r="AJ319">
        <v>0</v>
      </c>
      <c r="AK319">
        <v>0</v>
      </c>
    </row>
    <row r="320" spans="1:37" ht="15.75" x14ac:dyDescent="0.25">
      <c r="A320" s="4">
        <v>319</v>
      </c>
      <c r="B320" s="5" t="s">
        <v>237</v>
      </c>
      <c r="C320" s="5" t="s">
        <v>59</v>
      </c>
      <c r="D320" s="5" t="s">
        <v>75</v>
      </c>
      <c r="E320" s="31">
        <v>33971</v>
      </c>
      <c r="F320" s="4" t="s">
        <v>241</v>
      </c>
      <c r="G320" s="6">
        <v>275</v>
      </c>
      <c r="H320" s="6">
        <v>275</v>
      </c>
      <c r="I320" s="6">
        <v>275</v>
      </c>
      <c r="J320" s="6">
        <v>825</v>
      </c>
      <c r="K320" s="6">
        <v>275</v>
      </c>
      <c r="L320" s="6">
        <v>275</v>
      </c>
      <c r="M320" s="6">
        <v>275</v>
      </c>
      <c r="N320" s="6">
        <v>825</v>
      </c>
      <c r="O320" s="6">
        <v>275</v>
      </c>
      <c r="P320" s="6">
        <v>275</v>
      </c>
      <c r="Q320" s="6">
        <v>275</v>
      </c>
      <c r="R320" s="6">
        <v>825</v>
      </c>
      <c r="S320" s="6">
        <v>275</v>
      </c>
      <c r="T320" s="6">
        <v>275</v>
      </c>
      <c r="U320" s="6">
        <v>275</v>
      </c>
      <c r="V320" s="6">
        <v>825</v>
      </c>
      <c r="W320" s="6">
        <v>275</v>
      </c>
      <c r="X320" s="6">
        <v>275</v>
      </c>
      <c r="Y320" s="6">
        <v>275</v>
      </c>
      <c r="Z320" s="6">
        <v>825</v>
      </c>
      <c r="AA320" s="4">
        <v>825</v>
      </c>
      <c r="AB320" s="25">
        <v>1375</v>
      </c>
      <c r="AC320" s="25">
        <v>1245</v>
      </c>
      <c r="AD320" s="25">
        <v>1375</v>
      </c>
      <c r="AE320">
        <v>7425</v>
      </c>
      <c r="AF320" t="s">
        <v>199</v>
      </c>
      <c r="AG320" t="s">
        <v>198</v>
      </c>
      <c r="AH320" s="33">
        <v>0.12598300763432169</v>
      </c>
      <c r="AI320" s="12" t="e">
        <v>#N/A</v>
      </c>
      <c r="AJ320">
        <v>0</v>
      </c>
      <c r="AK320">
        <v>0</v>
      </c>
    </row>
    <row r="321" spans="1:37" ht="15.75" x14ac:dyDescent="0.25">
      <c r="A321" s="4">
        <v>320</v>
      </c>
      <c r="B321" s="5" t="s">
        <v>237</v>
      </c>
      <c r="C321" s="5" t="s">
        <v>59</v>
      </c>
      <c r="D321" s="5" t="s">
        <v>75</v>
      </c>
      <c r="E321" s="31">
        <v>9452</v>
      </c>
      <c r="F321" s="4" t="s">
        <v>241</v>
      </c>
      <c r="G321" s="6">
        <v>145</v>
      </c>
      <c r="H321" s="6">
        <v>145</v>
      </c>
      <c r="I321" s="6">
        <v>145</v>
      </c>
      <c r="J321" s="6">
        <v>435</v>
      </c>
      <c r="K321" s="6">
        <v>145</v>
      </c>
      <c r="L321" s="6">
        <v>145</v>
      </c>
      <c r="M321" s="6">
        <v>145</v>
      </c>
      <c r="N321" s="6">
        <v>435</v>
      </c>
      <c r="O321" s="6">
        <v>145</v>
      </c>
      <c r="P321" s="6">
        <v>145</v>
      </c>
      <c r="Q321" s="6">
        <v>145</v>
      </c>
      <c r="R321" s="6">
        <v>435</v>
      </c>
      <c r="S321" s="6">
        <v>145</v>
      </c>
      <c r="T321" s="6">
        <v>145</v>
      </c>
      <c r="U321" s="6">
        <v>145</v>
      </c>
      <c r="V321" s="6">
        <v>435</v>
      </c>
      <c r="W321" s="6">
        <v>145</v>
      </c>
      <c r="X321" s="6">
        <v>145</v>
      </c>
      <c r="Y321" s="6">
        <v>145</v>
      </c>
      <c r="Z321" s="6">
        <v>435</v>
      </c>
      <c r="AA321" s="4">
        <v>435</v>
      </c>
      <c r="AB321" s="25">
        <v>725</v>
      </c>
      <c r="AC321" s="25">
        <v>800</v>
      </c>
      <c r="AD321" s="25">
        <v>725</v>
      </c>
      <c r="AE321">
        <v>3915</v>
      </c>
      <c r="AF321" t="s">
        <v>199</v>
      </c>
      <c r="AG321" t="s">
        <v>199</v>
      </c>
      <c r="AH321" s="33">
        <v>0.25661541787954256</v>
      </c>
      <c r="AI321" s="12">
        <v>3.4445640473627553E-2</v>
      </c>
      <c r="AJ321">
        <v>0</v>
      </c>
      <c r="AK321">
        <v>0</v>
      </c>
    </row>
    <row r="322" spans="1:37" ht="15.75" x14ac:dyDescent="0.25">
      <c r="A322" s="4">
        <v>321</v>
      </c>
      <c r="B322" s="5" t="s">
        <v>237</v>
      </c>
      <c r="C322" s="5" t="s">
        <v>59</v>
      </c>
      <c r="D322" s="5" t="s">
        <v>75</v>
      </c>
      <c r="E322" s="31">
        <v>8564</v>
      </c>
      <c r="F322" s="4" t="s">
        <v>240</v>
      </c>
      <c r="G322" s="6">
        <v>220</v>
      </c>
      <c r="H322" s="6">
        <v>220</v>
      </c>
      <c r="I322" s="6">
        <v>220</v>
      </c>
      <c r="J322" s="6">
        <v>660</v>
      </c>
      <c r="K322" s="6">
        <v>220</v>
      </c>
      <c r="L322" s="6">
        <v>220</v>
      </c>
      <c r="M322" s="6">
        <v>220</v>
      </c>
      <c r="N322" s="6">
        <v>660</v>
      </c>
      <c r="O322" s="6">
        <v>220</v>
      </c>
      <c r="P322" s="6">
        <v>220</v>
      </c>
      <c r="Q322" s="6">
        <v>220</v>
      </c>
      <c r="R322" s="6">
        <v>660</v>
      </c>
      <c r="S322" s="6">
        <v>220</v>
      </c>
      <c r="T322" s="6">
        <v>220</v>
      </c>
      <c r="U322" s="6">
        <v>220</v>
      </c>
      <c r="V322" s="6">
        <v>660</v>
      </c>
      <c r="W322" s="6">
        <v>220</v>
      </c>
      <c r="X322" s="6">
        <v>220</v>
      </c>
      <c r="Y322" s="6">
        <v>220</v>
      </c>
      <c r="Z322" s="6">
        <v>660</v>
      </c>
      <c r="AA322" s="4">
        <v>660</v>
      </c>
      <c r="AB322" s="25">
        <v>1100</v>
      </c>
      <c r="AC322" s="25">
        <v>1100</v>
      </c>
      <c r="AD322" s="25">
        <v>1100</v>
      </c>
      <c r="AE322">
        <v>5940</v>
      </c>
      <c r="AF322" t="s">
        <v>199</v>
      </c>
      <c r="AG322" t="s">
        <v>199</v>
      </c>
      <c r="AH322" s="33">
        <v>0.58667089657164639</v>
      </c>
      <c r="AI322" s="12">
        <v>1.858867505177552E-2</v>
      </c>
      <c r="AJ322">
        <v>0</v>
      </c>
      <c r="AK322">
        <v>0</v>
      </c>
    </row>
    <row r="323" spans="1:37" ht="15.75" x14ac:dyDescent="0.25">
      <c r="A323" s="4">
        <v>322</v>
      </c>
      <c r="B323" s="5" t="s">
        <v>237</v>
      </c>
      <c r="C323" s="5" t="s">
        <v>59</v>
      </c>
      <c r="D323" s="5" t="s">
        <v>75</v>
      </c>
      <c r="E323" s="31">
        <v>4895</v>
      </c>
      <c r="F323" s="4" t="s">
        <v>240</v>
      </c>
      <c r="G323" s="6">
        <v>220</v>
      </c>
      <c r="H323" s="6">
        <v>220</v>
      </c>
      <c r="I323" s="6">
        <v>220</v>
      </c>
      <c r="J323" s="6">
        <v>660</v>
      </c>
      <c r="K323" s="6">
        <v>220</v>
      </c>
      <c r="L323" s="6">
        <v>220</v>
      </c>
      <c r="M323" s="6">
        <v>220</v>
      </c>
      <c r="N323" s="6">
        <v>660</v>
      </c>
      <c r="O323" s="6">
        <v>220</v>
      </c>
      <c r="P323" s="6">
        <v>220</v>
      </c>
      <c r="Q323" s="6">
        <v>220</v>
      </c>
      <c r="R323" s="6">
        <v>660</v>
      </c>
      <c r="S323" s="6">
        <v>220</v>
      </c>
      <c r="T323" s="6">
        <v>220</v>
      </c>
      <c r="U323" s="6">
        <v>220</v>
      </c>
      <c r="V323" s="6">
        <v>660</v>
      </c>
      <c r="W323" s="6">
        <v>220</v>
      </c>
      <c r="X323" s="6">
        <v>220</v>
      </c>
      <c r="Y323" s="6">
        <v>220</v>
      </c>
      <c r="Z323" s="6">
        <v>660</v>
      </c>
      <c r="AA323" s="4">
        <v>660</v>
      </c>
      <c r="AB323" s="25">
        <v>1100</v>
      </c>
      <c r="AC323" s="25">
        <v>1008</v>
      </c>
      <c r="AD323" s="25">
        <v>1100</v>
      </c>
      <c r="AE323">
        <v>5940</v>
      </c>
      <c r="AF323" t="s">
        <v>199</v>
      </c>
      <c r="AG323" t="s">
        <v>199</v>
      </c>
      <c r="AH323" s="33">
        <v>0.91529673065239525</v>
      </c>
      <c r="AI323" s="12">
        <v>3.487728363166636E-2</v>
      </c>
      <c r="AJ323">
        <v>0</v>
      </c>
      <c r="AK323">
        <v>0</v>
      </c>
    </row>
    <row r="324" spans="1:37" ht="15.75" x14ac:dyDescent="0.25">
      <c r="A324" s="4">
        <v>323</v>
      </c>
      <c r="B324" s="5" t="s">
        <v>237</v>
      </c>
      <c r="C324" s="5" t="s">
        <v>59</v>
      </c>
      <c r="D324" s="5" t="s">
        <v>75</v>
      </c>
      <c r="E324" s="31">
        <v>8588</v>
      </c>
      <c r="F324" s="4" t="s">
        <v>241</v>
      </c>
      <c r="G324" s="6">
        <v>128</v>
      </c>
      <c r="H324" s="6">
        <v>128</v>
      </c>
      <c r="I324" s="6">
        <v>128</v>
      </c>
      <c r="J324" s="6">
        <v>384</v>
      </c>
      <c r="K324" s="6">
        <v>128</v>
      </c>
      <c r="L324" s="6">
        <v>128</v>
      </c>
      <c r="M324" s="6">
        <v>128</v>
      </c>
      <c r="N324" s="6">
        <v>384</v>
      </c>
      <c r="O324" s="6">
        <v>128</v>
      </c>
      <c r="P324" s="6">
        <v>128</v>
      </c>
      <c r="Q324" s="6">
        <v>128</v>
      </c>
      <c r="R324" s="6">
        <v>384</v>
      </c>
      <c r="S324" s="6">
        <v>128</v>
      </c>
      <c r="T324" s="6">
        <v>128</v>
      </c>
      <c r="U324" s="6">
        <v>128</v>
      </c>
      <c r="V324" s="6">
        <v>384</v>
      </c>
      <c r="W324" s="6">
        <v>128</v>
      </c>
      <c r="X324" s="6">
        <v>128</v>
      </c>
      <c r="Y324" s="6">
        <v>128</v>
      </c>
      <c r="Z324" s="6">
        <v>384</v>
      </c>
      <c r="AA324" s="4">
        <v>384</v>
      </c>
      <c r="AB324" s="25">
        <v>640</v>
      </c>
      <c r="AC324" s="25">
        <v>716</v>
      </c>
      <c r="AD324" s="25">
        <v>640</v>
      </c>
      <c r="AE324">
        <v>3456</v>
      </c>
      <c r="AF324" t="s">
        <v>198</v>
      </c>
      <c r="AG324" t="s">
        <v>199</v>
      </c>
      <c r="AH324" s="33">
        <v>0.93940052383186867</v>
      </c>
      <c r="AI324" s="12" t="e">
        <v>#N/A</v>
      </c>
      <c r="AJ324">
        <v>0</v>
      </c>
      <c r="AK324">
        <v>0</v>
      </c>
    </row>
    <row r="325" spans="1:37" ht="15.75" x14ac:dyDescent="0.25">
      <c r="A325" s="4">
        <v>324</v>
      </c>
      <c r="B325" s="5" t="s">
        <v>237</v>
      </c>
      <c r="C325" s="5" t="s">
        <v>59</v>
      </c>
      <c r="D325" s="5" t="s">
        <v>75</v>
      </c>
      <c r="E325" s="31">
        <v>8554</v>
      </c>
      <c r="F325" s="4" t="s">
        <v>241</v>
      </c>
      <c r="G325" s="6">
        <v>204</v>
      </c>
      <c r="H325" s="6">
        <v>204</v>
      </c>
      <c r="I325" s="6">
        <v>204</v>
      </c>
      <c r="J325" s="6">
        <v>612</v>
      </c>
      <c r="K325" s="6">
        <v>204</v>
      </c>
      <c r="L325" s="6">
        <v>204</v>
      </c>
      <c r="M325" s="6">
        <v>204</v>
      </c>
      <c r="N325" s="6">
        <v>612</v>
      </c>
      <c r="O325" s="6">
        <v>204</v>
      </c>
      <c r="P325" s="6">
        <v>204</v>
      </c>
      <c r="Q325" s="6">
        <v>204</v>
      </c>
      <c r="R325" s="6">
        <v>612</v>
      </c>
      <c r="S325" s="6">
        <v>204</v>
      </c>
      <c r="T325" s="6">
        <v>204</v>
      </c>
      <c r="U325" s="6">
        <v>204</v>
      </c>
      <c r="V325" s="6">
        <v>612</v>
      </c>
      <c r="W325" s="6">
        <v>204</v>
      </c>
      <c r="X325" s="6">
        <v>204</v>
      </c>
      <c r="Y325" s="6">
        <v>204</v>
      </c>
      <c r="Z325" s="6">
        <v>612</v>
      </c>
      <c r="AA325" s="4">
        <v>612</v>
      </c>
      <c r="AB325" s="25">
        <v>1020</v>
      </c>
      <c r="AC325" s="25">
        <v>1216</v>
      </c>
      <c r="AD325" s="25">
        <v>1020</v>
      </c>
      <c r="AE325">
        <v>5508</v>
      </c>
      <c r="AF325" t="s">
        <v>198</v>
      </c>
      <c r="AG325" t="s">
        <v>199</v>
      </c>
      <c r="AH325" s="33">
        <v>0.9600518497629551</v>
      </c>
      <c r="AI325" s="12" t="e">
        <v>#N/A</v>
      </c>
      <c r="AJ325">
        <v>0</v>
      </c>
      <c r="AK325">
        <v>0</v>
      </c>
    </row>
    <row r="326" spans="1:37" ht="15.75" x14ac:dyDescent="0.25">
      <c r="A326" s="4">
        <v>325</v>
      </c>
      <c r="B326" s="5" t="s">
        <v>237</v>
      </c>
      <c r="C326" s="5" t="s">
        <v>59</v>
      </c>
      <c r="D326" s="5" t="s">
        <v>75</v>
      </c>
      <c r="E326" s="31">
        <v>9451</v>
      </c>
      <c r="F326" s="4" t="s">
        <v>241</v>
      </c>
      <c r="G326" s="6">
        <v>400</v>
      </c>
      <c r="H326" s="6">
        <v>400</v>
      </c>
      <c r="I326" s="6">
        <v>400</v>
      </c>
      <c r="J326" s="6">
        <v>1200</v>
      </c>
      <c r="K326" s="6">
        <v>400</v>
      </c>
      <c r="L326" s="6">
        <v>400</v>
      </c>
      <c r="M326" s="6">
        <v>400</v>
      </c>
      <c r="N326" s="6">
        <v>1200</v>
      </c>
      <c r="O326" s="6">
        <v>400</v>
      </c>
      <c r="P326" s="6">
        <v>400</v>
      </c>
      <c r="Q326" s="6">
        <v>400</v>
      </c>
      <c r="R326" s="6">
        <v>1200</v>
      </c>
      <c r="S326" s="6">
        <v>400</v>
      </c>
      <c r="T326" s="6">
        <v>400</v>
      </c>
      <c r="U326" s="6">
        <v>400</v>
      </c>
      <c r="V326" s="6">
        <v>1200</v>
      </c>
      <c r="W326" s="6">
        <v>400</v>
      </c>
      <c r="X326" s="6">
        <v>400</v>
      </c>
      <c r="Y326" s="6">
        <v>400</v>
      </c>
      <c r="Z326" s="6">
        <v>1200</v>
      </c>
      <c r="AA326" s="4">
        <v>1200</v>
      </c>
      <c r="AB326" s="25">
        <v>2000</v>
      </c>
      <c r="AC326" s="25">
        <v>1790</v>
      </c>
      <c r="AD326" s="25">
        <v>2000</v>
      </c>
      <c r="AE326">
        <v>10800</v>
      </c>
      <c r="AF326" t="s">
        <v>198</v>
      </c>
      <c r="AG326" t="s">
        <v>198</v>
      </c>
      <c r="AH326" s="33">
        <v>0.78498270164317918</v>
      </c>
      <c r="AI326" s="12">
        <v>3.8300483165886953E-2</v>
      </c>
      <c r="AJ326">
        <v>0</v>
      </c>
      <c r="AK326">
        <v>0</v>
      </c>
    </row>
    <row r="327" spans="1:37" ht="15.75" x14ac:dyDescent="0.25">
      <c r="A327" s="4">
        <v>326</v>
      </c>
      <c r="B327" s="5" t="s">
        <v>237</v>
      </c>
      <c r="C327" s="5" t="s">
        <v>59</v>
      </c>
      <c r="D327" s="5" t="s">
        <v>75</v>
      </c>
      <c r="E327" s="31">
        <v>30630</v>
      </c>
      <c r="F327" s="4" t="s">
        <v>241</v>
      </c>
      <c r="G327" s="6">
        <v>190</v>
      </c>
      <c r="H327" s="6">
        <v>190</v>
      </c>
      <c r="I327" s="6">
        <v>190</v>
      </c>
      <c r="J327" s="6">
        <v>570</v>
      </c>
      <c r="K327" s="6">
        <v>190</v>
      </c>
      <c r="L327" s="6">
        <v>190</v>
      </c>
      <c r="M327" s="6">
        <v>190</v>
      </c>
      <c r="N327" s="6">
        <v>570</v>
      </c>
      <c r="O327" s="6">
        <v>190</v>
      </c>
      <c r="P327" s="6">
        <v>190</v>
      </c>
      <c r="Q327" s="6">
        <v>190</v>
      </c>
      <c r="R327" s="6">
        <v>570</v>
      </c>
      <c r="S327" s="6">
        <v>190</v>
      </c>
      <c r="T327" s="6">
        <v>190</v>
      </c>
      <c r="U327" s="6">
        <v>190</v>
      </c>
      <c r="V327" s="6">
        <v>570</v>
      </c>
      <c r="W327" s="6">
        <v>187</v>
      </c>
      <c r="X327" s="6">
        <v>190</v>
      </c>
      <c r="Y327" s="6">
        <v>190</v>
      </c>
      <c r="Z327" s="6">
        <v>567</v>
      </c>
      <c r="AA327" s="4">
        <v>570</v>
      </c>
      <c r="AB327" s="25">
        <v>947</v>
      </c>
      <c r="AC327" s="25">
        <v>940</v>
      </c>
      <c r="AD327" s="25">
        <v>950</v>
      </c>
      <c r="AE327">
        <v>5127</v>
      </c>
      <c r="AF327" t="s">
        <v>198</v>
      </c>
      <c r="AG327" t="s">
        <v>198</v>
      </c>
      <c r="AH327" s="33">
        <v>0.64065781850512182</v>
      </c>
      <c r="AI327" s="12">
        <v>2.4508280424455003E-2</v>
      </c>
      <c r="AJ327">
        <v>1</v>
      </c>
      <c r="AK327">
        <v>0</v>
      </c>
    </row>
    <row r="328" spans="1:37" ht="15.75" x14ac:dyDescent="0.25">
      <c r="A328" s="4">
        <v>327</v>
      </c>
      <c r="B328" s="5" t="s">
        <v>237</v>
      </c>
      <c r="C328" s="5" t="s">
        <v>59</v>
      </c>
      <c r="D328" s="5" t="s">
        <v>75</v>
      </c>
      <c r="E328" s="31">
        <v>34053</v>
      </c>
      <c r="F328" s="4" t="s">
        <v>241</v>
      </c>
      <c r="G328" s="6">
        <v>180</v>
      </c>
      <c r="H328" s="6">
        <v>180</v>
      </c>
      <c r="I328" s="6">
        <v>180</v>
      </c>
      <c r="J328" s="6">
        <v>540</v>
      </c>
      <c r="K328" s="6">
        <v>180</v>
      </c>
      <c r="L328" s="6">
        <v>180</v>
      </c>
      <c r="M328" s="6">
        <v>180</v>
      </c>
      <c r="N328" s="6">
        <v>540</v>
      </c>
      <c r="O328" s="6">
        <v>180</v>
      </c>
      <c r="P328" s="6">
        <v>180</v>
      </c>
      <c r="Q328" s="6">
        <v>180</v>
      </c>
      <c r="R328" s="6">
        <v>540</v>
      </c>
      <c r="S328" s="6">
        <v>180</v>
      </c>
      <c r="T328" s="6">
        <v>180</v>
      </c>
      <c r="U328" s="6">
        <v>180</v>
      </c>
      <c r="V328" s="6">
        <v>540</v>
      </c>
      <c r="W328" s="6">
        <v>180</v>
      </c>
      <c r="X328" s="6">
        <v>180</v>
      </c>
      <c r="Y328" s="6">
        <v>180</v>
      </c>
      <c r="Z328" s="6">
        <v>540</v>
      </c>
      <c r="AA328" s="4">
        <v>540</v>
      </c>
      <c r="AB328" s="25">
        <v>900</v>
      </c>
      <c r="AC328" s="25">
        <v>1001</v>
      </c>
      <c r="AD328" s="25">
        <v>900</v>
      </c>
      <c r="AE328">
        <v>4860</v>
      </c>
      <c r="AF328" t="s">
        <v>199</v>
      </c>
      <c r="AG328" t="s">
        <v>198</v>
      </c>
      <c r="AH328" s="33">
        <v>9.3010466855928953E-2</v>
      </c>
      <c r="AI328" s="12">
        <v>3.0806204937732139E-2</v>
      </c>
      <c r="AJ328">
        <v>1</v>
      </c>
      <c r="AK328">
        <v>0</v>
      </c>
    </row>
    <row r="329" spans="1:37" ht="15.75" x14ac:dyDescent="0.25">
      <c r="A329" s="4">
        <v>328</v>
      </c>
      <c r="B329" s="5" t="s">
        <v>237</v>
      </c>
      <c r="C329" s="5" t="s">
        <v>76</v>
      </c>
      <c r="D329" s="5" t="s">
        <v>77</v>
      </c>
      <c r="E329" s="31">
        <v>7998</v>
      </c>
      <c r="F329" s="4" t="s">
        <v>241</v>
      </c>
      <c r="G329" s="6">
        <v>281</v>
      </c>
      <c r="H329" s="6">
        <v>281</v>
      </c>
      <c r="I329" s="6">
        <v>281</v>
      </c>
      <c r="J329" s="6">
        <v>843</v>
      </c>
      <c r="K329" s="6">
        <v>281</v>
      </c>
      <c r="L329" s="6">
        <v>281</v>
      </c>
      <c r="M329" s="6">
        <v>281</v>
      </c>
      <c r="N329" s="6">
        <v>843</v>
      </c>
      <c r="O329" s="6">
        <v>281</v>
      </c>
      <c r="P329" s="6">
        <v>281</v>
      </c>
      <c r="Q329" s="6">
        <v>281</v>
      </c>
      <c r="R329" s="6">
        <v>843</v>
      </c>
      <c r="S329" s="6">
        <v>281</v>
      </c>
      <c r="T329" s="6">
        <v>281</v>
      </c>
      <c r="U329" s="6">
        <v>281</v>
      </c>
      <c r="V329" s="6">
        <v>843</v>
      </c>
      <c r="W329" s="6">
        <v>281</v>
      </c>
      <c r="X329" s="6">
        <v>281</v>
      </c>
      <c r="Y329" s="6">
        <v>281</v>
      </c>
      <c r="Z329" s="6">
        <v>843</v>
      </c>
      <c r="AA329" s="4">
        <v>843</v>
      </c>
      <c r="AB329" s="25">
        <v>1405</v>
      </c>
      <c r="AC329" s="25">
        <v>1364</v>
      </c>
      <c r="AD329" s="25">
        <v>1405</v>
      </c>
      <c r="AE329">
        <v>7587</v>
      </c>
      <c r="AF329" t="s">
        <v>198</v>
      </c>
      <c r="AG329" t="s">
        <v>198</v>
      </c>
      <c r="AH329" s="33">
        <v>0.28442740434762148</v>
      </c>
      <c r="AI329" s="12" t="e">
        <v>#N/A</v>
      </c>
      <c r="AJ329">
        <v>0</v>
      </c>
      <c r="AK329">
        <v>0</v>
      </c>
    </row>
    <row r="330" spans="1:37" ht="15.75" x14ac:dyDescent="0.25">
      <c r="A330" s="4">
        <v>329</v>
      </c>
      <c r="B330" s="5" t="s">
        <v>237</v>
      </c>
      <c r="C330" s="5" t="s">
        <v>76</v>
      </c>
      <c r="D330" s="5" t="s">
        <v>77</v>
      </c>
      <c r="E330" s="31">
        <v>35649</v>
      </c>
      <c r="F330" s="4" t="s">
        <v>241</v>
      </c>
      <c r="G330" s="6">
        <v>240</v>
      </c>
      <c r="H330" s="6">
        <v>240</v>
      </c>
      <c r="I330" s="6">
        <v>240</v>
      </c>
      <c r="J330" s="6">
        <v>720</v>
      </c>
      <c r="K330" s="6">
        <v>240</v>
      </c>
      <c r="L330" s="6">
        <v>240</v>
      </c>
      <c r="M330" s="6">
        <v>240</v>
      </c>
      <c r="N330" s="6">
        <v>720</v>
      </c>
      <c r="O330" s="6">
        <v>240</v>
      </c>
      <c r="P330" s="6">
        <v>240</v>
      </c>
      <c r="Q330" s="6">
        <v>240</v>
      </c>
      <c r="R330" s="6">
        <v>720</v>
      </c>
      <c r="S330" s="6">
        <v>240</v>
      </c>
      <c r="T330" s="6">
        <v>240</v>
      </c>
      <c r="U330" s="6">
        <v>240</v>
      </c>
      <c r="V330" s="6">
        <v>720</v>
      </c>
      <c r="W330" s="6">
        <v>240</v>
      </c>
      <c r="X330" s="6">
        <v>240</v>
      </c>
      <c r="Y330" s="6">
        <v>240</v>
      </c>
      <c r="Z330" s="6">
        <v>720</v>
      </c>
      <c r="AA330" s="4">
        <v>720</v>
      </c>
      <c r="AB330" s="25">
        <v>1200</v>
      </c>
      <c r="AC330" s="25">
        <v>1180</v>
      </c>
      <c r="AD330" s="25">
        <v>1200</v>
      </c>
      <c r="AE330">
        <v>6480</v>
      </c>
      <c r="AF330" t="s">
        <v>199</v>
      </c>
      <c r="AG330" t="s">
        <v>199</v>
      </c>
      <c r="AH330" s="33">
        <v>0.45804910889897066</v>
      </c>
      <c r="AI330" s="12">
        <v>0.10416666666666667</v>
      </c>
      <c r="AJ330">
        <v>0</v>
      </c>
      <c r="AK330">
        <v>0</v>
      </c>
    </row>
    <row r="331" spans="1:37" ht="15.75" x14ac:dyDescent="0.25">
      <c r="A331" s="4">
        <v>330</v>
      </c>
      <c r="B331" s="5" t="s">
        <v>237</v>
      </c>
      <c r="C331" s="5" t="s">
        <v>76</v>
      </c>
      <c r="D331" s="5" t="s">
        <v>78</v>
      </c>
      <c r="E331" s="31">
        <v>11678</v>
      </c>
      <c r="F331" s="4" t="s">
        <v>240</v>
      </c>
      <c r="G331" s="6">
        <v>220</v>
      </c>
      <c r="H331" s="6">
        <v>220</v>
      </c>
      <c r="I331" s="6">
        <v>220</v>
      </c>
      <c r="J331" s="6">
        <v>660</v>
      </c>
      <c r="K331" s="6">
        <v>220</v>
      </c>
      <c r="L331" s="6">
        <v>220</v>
      </c>
      <c r="M331" s="6">
        <v>220</v>
      </c>
      <c r="N331" s="6">
        <v>660</v>
      </c>
      <c r="O331" s="6">
        <v>220</v>
      </c>
      <c r="P331" s="6">
        <v>220</v>
      </c>
      <c r="Q331" s="6">
        <v>220</v>
      </c>
      <c r="R331" s="6">
        <v>660</v>
      </c>
      <c r="S331" s="6">
        <v>220</v>
      </c>
      <c r="T331" s="6">
        <v>220</v>
      </c>
      <c r="U331" s="6">
        <v>220</v>
      </c>
      <c r="V331" s="6">
        <v>660</v>
      </c>
      <c r="W331" s="6">
        <v>220</v>
      </c>
      <c r="X331" s="6">
        <v>220</v>
      </c>
      <c r="Y331" s="6">
        <v>220</v>
      </c>
      <c r="Z331" s="6">
        <v>660</v>
      </c>
      <c r="AA331" s="4">
        <v>660</v>
      </c>
      <c r="AB331" s="25">
        <v>1100</v>
      </c>
      <c r="AC331" s="25">
        <v>1105</v>
      </c>
      <c r="AD331" s="25">
        <v>1100</v>
      </c>
      <c r="AE331">
        <v>5940</v>
      </c>
      <c r="AF331" t="s">
        <v>199</v>
      </c>
      <c r="AG331" t="s">
        <v>198</v>
      </c>
      <c r="AH331" s="33">
        <v>0.95022009382255634</v>
      </c>
      <c r="AI331" s="12">
        <v>3.7700797727024365E-2</v>
      </c>
      <c r="AJ331">
        <v>0</v>
      </c>
      <c r="AK331">
        <v>0</v>
      </c>
    </row>
    <row r="332" spans="1:37" ht="15.75" x14ac:dyDescent="0.25">
      <c r="A332" s="4">
        <v>331</v>
      </c>
      <c r="B332" s="5" t="s">
        <v>237</v>
      </c>
      <c r="C332" s="5" t="s">
        <v>76</v>
      </c>
      <c r="D332" s="5" t="s">
        <v>78</v>
      </c>
      <c r="E332" s="31">
        <v>37368</v>
      </c>
      <c r="F332" s="4" t="s">
        <v>240</v>
      </c>
      <c r="G332" s="6">
        <v>225</v>
      </c>
      <c r="H332" s="6">
        <v>225</v>
      </c>
      <c r="I332" s="6">
        <v>225</v>
      </c>
      <c r="J332" s="6">
        <v>675</v>
      </c>
      <c r="K332" s="6">
        <v>225</v>
      </c>
      <c r="L332" s="6">
        <v>225</v>
      </c>
      <c r="M332" s="6">
        <v>225</v>
      </c>
      <c r="N332" s="6">
        <v>675</v>
      </c>
      <c r="O332" s="6">
        <v>225</v>
      </c>
      <c r="P332" s="6">
        <v>225</v>
      </c>
      <c r="Q332" s="6">
        <v>225</v>
      </c>
      <c r="R332" s="6">
        <v>675</v>
      </c>
      <c r="S332" s="6">
        <v>225</v>
      </c>
      <c r="T332" s="6">
        <v>225</v>
      </c>
      <c r="U332" s="6">
        <v>225</v>
      </c>
      <c r="V332" s="6">
        <v>675</v>
      </c>
      <c r="W332" s="6">
        <v>225</v>
      </c>
      <c r="X332" s="6">
        <v>225</v>
      </c>
      <c r="Y332" s="6">
        <v>225</v>
      </c>
      <c r="Z332" s="6">
        <v>675</v>
      </c>
      <c r="AA332" s="4">
        <v>675</v>
      </c>
      <c r="AB332" s="25">
        <v>1125</v>
      </c>
      <c r="AC332" s="25">
        <v>1160</v>
      </c>
      <c r="AD332" s="25">
        <v>1125</v>
      </c>
      <c r="AE332">
        <v>6075</v>
      </c>
      <c r="AF332" t="s">
        <v>199</v>
      </c>
      <c r="AG332" t="s">
        <v>198</v>
      </c>
      <c r="AH332" s="33">
        <v>0.68030947243803519</v>
      </c>
      <c r="AI332" s="12">
        <v>0</v>
      </c>
      <c r="AJ332">
        <v>0</v>
      </c>
      <c r="AK332">
        <v>0</v>
      </c>
    </row>
    <row r="333" spans="1:37" ht="15.75" x14ac:dyDescent="0.25">
      <c r="A333" s="4">
        <v>332</v>
      </c>
      <c r="B333" s="5" t="s">
        <v>237</v>
      </c>
      <c r="C333" s="5" t="s">
        <v>76</v>
      </c>
      <c r="D333" s="5" t="s">
        <v>78</v>
      </c>
      <c r="E333" s="31">
        <v>14389</v>
      </c>
      <c r="F333" s="4" t="s">
        <v>241</v>
      </c>
      <c r="G333" s="6">
        <v>260</v>
      </c>
      <c r="H333" s="6">
        <v>260</v>
      </c>
      <c r="I333" s="6">
        <v>260</v>
      </c>
      <c r="J333" s="6">
        <v>780</v>
      </c>
      <c r="K333" s="6">
        <v>260</v>
      </c>
      <c r="L333" s="6">
        <v>260</v>
      </c>
      <c r="M333" s="6">
        <v>260</v>
      </c>
      <c r="N333" s="6">
        <v>780</v>
      </c>
      <c r="O333" s="6">
        <v>260</v>
      </c>
      <c r="P333" s="6">
        <v>260</v>
      </c>
      <c r="Q333" s="6">
        <v>260</v>
      </c>
      <c r="R333" s="6">
        <v>780</v>
      </c>
      <c r="S333" s="6">
        <v>260</v>
      </c>
      <c r="T333" s="6">
        <v>260</v>
      </c>
      <c r="U333" s="6">
        <v>260</v>
      </c>
      <c r="V333" s="6">
        <v>780</v>
      </c>
      <c r="W333" s="6">
        <v>260</v>
      </c>
      <c r="X333" s="6">
        <v>260</v>
      </c>
      <c r="Y333" s="6">
        <v>260</v>
      </c>
      <c r="Z333" s="6">
        <v>780</v>
      </c>
      <c r="AA333" s="4">
        <v>780</v>
      </c>
      <c r="AB333" s="25">
        <v>1300</v>
      </c>
      <c r="AC333" s="25">
        <v>1250</v>
      </c>
      <c r="AD333" s="25">
        <v>1300</v>
      </c>
      <c r="AE333">
        <v>7020</v>
      </c>
      <c r="AF333" t="s">
        <v>199</v>
      </c>
      <c r="AG333" t="s">
        <v>198</v>
      </c>
      <c r="AH333" s="33">
        <v>0.61185716018272207</v>
      </c>
      <c r="AI333" s="12">
        <v>0</v>
      </c>
      <c r="AJ333">
        <v>0</v>
      </c>
      <c r="AK333">
        <v>0</v>
      </c>
    </row>
    <row r="334" spans="1:37" ht="15.75" x14ac:dyDescent="0.25">
      <c r="A334" s="4">
        <v>333</v>
      </c>
      <c r="B334" s="5" t="s">
        <v>237</v>
      </c>
      <c r="C334" s="5" t="s">
        <v>76</v>
      </c>
      <c r="D334" s="5" t="s">
        <v>79</v>
      </c>
      <c r="E334" s="31">
        <v>11354</v>
      </c>
      <c r="F334" s="4" t="s">
        <v>241</v>
      </c>
      <c r="G334" s="6">
        <v>210</v>
      </c>
      <c r="H334" s="6">
        <v>210</v>
      </c>
      <c r="I334" s="6">
        <v>210</v>
      </c>
      <c r="J334" s="6">
        <v>630</v>
      </c>
      <c r="K334" s="6">
        <v>210</v>
      </c>
      <c r="L334" s="6">
        <v>210</v>
      </c>
      <c r="M334" s="6">
        <v>210</v>
      </c>
      <c r="N334" s="6">
        <v>630</v>
      </c>
      <c r="O334" s="6">
        <v>210</v>
      </c>
      <c r="P334" s="6">
        <v>210</v>
      </c>
      <c r="Q334" s="6">
        <v>210</v>
      </c>
      <c r="R334" s="6">
        <v>630</v>
      </c>
      <c r="S334" s="6">
        <v>210</v>
      </c>
      <c r="T334" s="6">
        <v>210</v>
      </c>
      <c r="U334" s="6">
        <v>210</v>
      </c>
      <c r="V334" s="6">
        <v>630</v>
      </c>
      <c r="W334" s="6">
        <v>210</v>
      </c>
      <c r="X334" s="6">
        <v>210</v>
      </c>
      <c r="Y334" s="6">
        <v>210</v>
      </c>
      <c r="Z334" s="6">
        <v>630</v>
      </c>
      <c r="AA334" s="4">
        <v>630</v>
      </c>
      <c r="AB334" s="25">
        <v>1050</v>
      </c>
      <c r="AC334" s="25">
        <v>1078</v>
      </c>
      <c r="AD334" s="25">
        <v>1050</v>
      </c>
      <c r="AE334">
        <v>5670</v>
      </c>
      <c r="AF334" t="s">
        <v>199</v>
      </c>
      <c r="AG334" t="s">
        <v>198</v>
      </c>
      <c r="AH334" s="33">
        <v>0.92857355479102444</v>
      </c>
      <c r="AI334" s="12">
        <v>1.7308440295604823E-2</v>
      </c>
      <c r="AJ334">
        <v>0</v>
      </c>
      <c r="AK334">
        <v>0</v>
      </c>
    </row>
    <row r="335" spans="1:37" ht="15.75" x14ac:dyDescent="0.25">
      <c r="A335" s="4">
        <v>334</v>
      </c>
      <c r="B335" s="5" t="s">
        <v>237</v>
      </c>
      <c r="C335" s="5" t="s">
        <v>76</v>
      </c>
      <c r="D335" s="5" t="s">
        <v>79</v>
      </c>
      <c r="E335" s="31">
        <v>37525</v>
      </c>
      <c r="F335" s="4" t="s">
        <v>241</v>
      </c>
      <c r="G335" s="6">
        <v>238</v>
      </c>
      <c r="H335" s="6">
        <v>238</v>
      </c>
      <c r="I335" s="6">
        <v>238</v>
      </c>
      <c r="J335" s="6">
        <v>714</v>
      </c>
      <c r="K335" s="6">
        <v>238</v>
      </c>
      <c r="L335" s="6">
        <v>238</v>
      </c>
      <c r="M335" s="6">
        <v>238</v>
      </c>
      <c r="N335" s="6">
        <v>714</v>
      </c>
      <c r="O335" s="6">
        <v>238</v>
      </c>
      <c r="P335" s="6">
        <v>238</v>
      </c>
      <c r="Q335" s="6">
        <v>238</v>
      </c>
      <c r="R335" s="6">
        <v>714</v>
      </c>
      <c r="S335" s="6">
        <v>238</v>
      </c>
      <c r="T335" s="6">
        <v>238</v>
      </c>
      <c r="U335" s="6">
        <v>238</v>
      </c>
      <c r="V335" s="6">
        <v>714</v>
      </c>
      <c r="W335" s="6">
        <v>238</v>
      </c>
      <c r="X335" s="6">
        <v>238</v>
      </c>
      <c r="Y335" s="6">
        <v>238</v>
      </c>
      <c r="Z335" s="6">
        <v>714</v>
      </c>
      <c r="AA335" s="4">
        <v>714</v>
      </c>
      <c r="AB335" s="25">
        <v>1190</v>
      </c>
      <c r="AC335" s="25">
        <v>1351</v>
      </c>
      <c r="AD335" s="25">
        <v>1190</v>
      </c>
      <c r="AE335">
        <v>6426</v>
      </c>
      <c r="AF335" t="s">
        <v>198</v>
      </c>
      <c r="AG335" t="s">
        <v>198</v>
      </c>
      <c r="AH335" s="33">
        <v>0.57350645181599047</v>
      </c>
      <c r="AI335" s="12">
        <v>2.0976447497546614E-2</v>
      </c>
      <c r="AJ335">
        <v>1</v>
      </c>
      <c r="AK335">
        <v>0</v>
      </c>
    </row>
    <row r="336" spans="1:37" ht="15.75" x14ac:dyDescent="0.25">
      <c r="A336" s="4">
        <v>335</v>
      </c>
      <c r="B336" s="5" t="s">
        <v>236</v>
      </c>
      <c r="C336" s="5" t="s">
        <v>48</v>
      </c>
      <c r="D336" s="5" t="s">
        <v>49</v>
      </c>
      <c r="E336" s="31">
        <v>8387</v>
      </c>
      <c r="F336" s="4" t="s">
        <v>240</v>
      </c>
      <c r="G336" s="6">
        <v>400</v>
      </c>
      <c r="H336" s="6">
        <v>399</v>
      </c>
      <c r="I336" s="6">
        <v>400</v>
      </c>
      <c r="J336" s="6">
        <v>1199</v>
      </c>
      <c r="K336" s="6">
        <v>400</v>
      </c>
      <c r="L336" s="6">
        <v>400</v>
      </c>
      <c r="M336" s="6">
        <v>400</v>
      </c>
      <c r="N336" s="6">
        <v>1200</v>
      </c>
      <c r="O336" s="6">
        <v>400</v>
      </c>
      <c r="P336" s="6">
        <v>400</v>
      </c>
      <c r="Q336" s="6">
        <v>212</v>
      </c>
      <c r="R336" s="6">
        <v>1012</v>
      </c>
      <c r="S336" s="6">
        <v>400</v>
      </c>
      <c r="T336" s="6">
        <v>400</v>
      </c>
      <c r="U336" s="6">
        <v>400</v>
      </c>
      <c r="V336" s="6">
        <v>1200</v>
      </c>
      <c r="W336" s="6">
        <v>400</v>
      </c>
      <c r="X336" s="6">
        <v>400</v>
      </c>
      <c r="Y336" s="6">
        <v>400</v>
      </c>
      <c r="Z336" s="6">
        <v>1200</v>
      </c>
      <c r="AA336" s="4">
        <v>1200</v>
      </c>
      <c r="AB336" s="25">
        <v>1999</v>
      </c>
      <c r="AC336" s="25">
        <v>1833</v>
      </c>
      <c r="AD336" s="25">
        <v>1812</v>
      </c>
      <c r="AE336">
        <v>10422</v>
      </c>
      <c r="AF336" t="s">
        <v>199</v>
      </c>
      <c r="AG336" t="s">
        <v>199</v>
      </c>
      <c r="AH336" s="33">
        <v>0.29874241832397186</v>
      </c>
      <c r="AI336" s="12">
        <v>0</v>
      </c>
      <c r="AJ336">
        <v>0</v>
      </c>
      <c r="AK336">
        <v>0</v>
      </c>
    </row>
    <row r="337" spans="1:37" ht="15.75" x14ac:dyDescent="0.25">
      <c r="A337" s="4">
        <v>336</v>
      </c>
      <c r="B337" s="5" t="s">
        <v>236</v>
      </c>
      <c r="C337" s="5" t="s">
        <v>48</v>
      </c>
      <c r="D337" s="5" t="s">
        <v>50</v>
      </c>
      <c r="E337" s="31">
        <v>8148</v>
      </c>
      <c r="F337" s="4" t="s">
        <v>241</v>
      </c>
      <c r="G337" s="6">
        <v>233</v>
      </c>
      <c r="H337" s="6">
        <v>233</v>
      </c>
      <c r="I337" s="6">
        <v>233</v>
      </c>
      <c r="J337" s="6">
        <v>699</v>
      </c>
      <c r="K337" s="6">
        <v>233</v>
      </c>
      <c r="L337" s="6">
        <v>233</v>
      </c>
      <c r="M337" s="6">
        <v>233</v>
      </c>
      <c r="N337" s="6">
        <v>699</v>
      </c>
      <c r="O337" s="6">
        <v>233</v>
      </c>
      <c r="P337" s="6">
        <v>233</v>
      </c>
      <c r="Q337" s="6">
        <v>233</v>
      </c>
      <c r="R337" s="6">
        <v>699</v>
      </c>
      <c r="S337" s="6">
        <v>233</v>
      </c>
      <c r="T337" s="6">
        <v>233</v>
      </c>
      <c r="U337" s="6">
        <v>233</v>
      </c>
      <c r="V337" s="6">
        <v>699</v>
      </c>
      <c r="W337" s="6">
        <v>233</v>
      </c>
      <c r="X337" s="6">
        <v>233</v>
      </c>
      <c r="Y337" s="6">
        <v>233</v>
      </c>
      <c r="Z337" s="6">
        <v>699</v>
      </c>
      <c r="AA337" s="4">
        <v>699</v>
      </c>
      <c r="AB337" s="25">
        <v>1165</v>
      </c>
      <c r="AC337" s="25">
        <v>1165</v>
      </c>
      <c r="AD337" s="25">
        <v>1165</v>
      </c>
      <c r="AE337">
        <v>6291</v>
      </c>
      <c r="AF337" t="s">
        <v>198</v>
      </c>
      <c r="AG337" t="s">
        <v>199</v>
      </c>
      <c r="AH337" s="33">
        <v>0.40665801115862799</v>
      </c>
      <c r="AI337" s="12" t="e">
        <v>#N/A</v>
      </c>
      <c r="AJ337">
        <v>0</v>
      </c>
      <c r="AK337">
        <v>0</v>
      </c>
    </row>
    <row r="338" spans="1:37" ht="15.75" x14ac:dyDescent="0.25">
      <c r="A338" s="4">
        <v>337</v>
      </c>
      <c r="B338" s="5" t="s">
        <v>236</v>
      </c>
      <c r="C338" s="5" t="s">
        <v>48</v>
      </c>
      <c r="D338" s="5" t="s">
        <v>51</v>
      </c>
      <c r="E338" s="31">
        <v>8747</v>
      </c>
      <c r="F338" s="4" t="s">
        <v>241</v>
      </c>
      <c r="G338" s="6">
        <v>236</v>
      </c>
      <c r="H338" s="6">
        <v>233</v>
      </c>
      <c r="I338" s="6">
        <v>233</v>
      </c>
      <c r="J338" s="6">
        <v>702</v>
      </c>
      <c r="K338" s="6">
        <v>233</v>
      </c>
      <c r="L338" s="6">
        <v>233</v>
      </c>
      <c r="M338" s="6">
        <v>233</v>
      </c>
      <c r="N338" s="6">
        <v>699</v>
      </c>
      <c r="O338" s="6">
        <v>233</v>
      </c>
      <c r="P338" s="6">
        <v>233</v>
      </c>
      <c r="Q338" s="6">
        <v>233</v>
      </c>
      <c r="R338" s="6">
        <v>699</v>
      </c>
      <c r="S338" s="6">
        <v>233</v>
      </c>
      <c r="T338" s="6">
        <v>233</v>
      </c>
      <c r="U338" s="6">
        <v>233</v>
      </c>
      <c r="V338" s="6">
        <v>699</v>
      </c>
      <c r="W338" s="6">
        <v>233</v>
      </c>
      <c r="X338" s="6">
        <v>233</v>
      </c>
      <c r="Y338" s="6">
        <v>233</v>
      </c>
      <c r="Z338" s="6">
        <v>699</v>
      </c>
      <c r="AA338" s="4">
        <v>702</v>
      </c>
      <c r="AB338" s="25">
        <v>1165</v>
      </c>
      <c r="AC338" s="25">
        <v>1392</v>
      </c>
      <c r="AD338" s="25">
        <v>1165</v>
      </c>
      <c r="AE338">
        <v>6297</v>
      </c>
      <c r="AF338" t="s">
        <v>198</v>
      </c>
      <c r="AG338" t="s">
        <v>199</v>
      </c>
      <c r="AH338" s="33">
        <v>0.51207240718896141</v>
      </c>
      <c r="AI338" s="12" t="e">
        <v>#N/A</v>
      </c>
      <c r="AJ338">
        <v>0</v>
      </c>
      <c r="AK338">
        <v>0</v>
      </c>
    </row>
    <row r="339" spans="1:37" ht="15.75" x14ac:dyDescent="0.25">
      <c r="A339" s="4">
        <v>338</v>
      </c>
      <c r="B339" s="5" t="s">
        <v>236</v>
      </c>
      <c r="C339" s="5" t="s">
        <v>48</v>
      </c>
      <c r="D339" s="5" t="s">
        <v>51</v>
      </c>
      <c r="E339" s="31">
        <v>8576</v>
      </c>
      <c r="F339" s="4" t="s">
        <v>241</v>
      </c>
      <c r="G339" s="6">
        <v>460</v>
      </c>
      <c r="H339" s="6">
        <v>460</v>
      </c>
      <c r="I339" s="6">
        <v>460</v>
      </c>
      <c r="J339" s="6">
        <v>1380</v>
      </c>
      <c r="K339" s="6">
        <v>460</v>
      </c>
      <c r="L339" s="6">
        <v>460</v>
      </c>
      <c r="M339" s="6">
        <v>460</v>
      </c>
      <c r="N339" s="6">
        <v>1380</v>
      </c>
      <c r="O339" s="6">
        <v>460</v>
      </c>
      <c r="P339" s="6">
        <v>460</v>
      </c>
      <c r="Q339" s="6">
        <v>460</v>
      </c>
      <c r="R339" s="6">
        <v>1380</v>
      </c>
      <c r="S339" s="6">
        <v>460</v>
      </c>
      <c r="T339" s="6">
        <v>460</v>
      </c>
      <c r="U339" s="6">
        <v>460</v>
      </c>
      <c r="V339" s="6">
        <v>1380</v>
      </c>
      <c r="W339" s="6">
        <v>460</v>
      </c>
      <c r="X339" s="6">
        <v>460</v>
      </c>
      <c r="Y339" s="6">
        <v>460</v>
      </c>
      <c r="Z339" s="6">
        <v>1380</v>
      </c>
      <c r="AA339" s="4">
        <v>1380</v>
      </c>
      <c r="AB339" s="25">
        <v>2300</v>
      </c>
      <c r="AC339" s="25">
        <v>2196</v>
      </c>
      <c r="AD339" s="25">
        <v>2300</v>
      </c>
      <c r="AE339">
        <v>12420</v>
      </c>
      <c r="AF339" t="s">
        <v>198</v>
      </c>
      <c r="AG339" t="s">
        <v>199</v>
      </c>
      <c r="AH339" s="33">
        <v>0.22939182136653025</v>
      </c>
      <c r="AI339" s="12">
        <v>1.8101331612810724E-2</v>
      </c>
      <c r="AJ339">
        <v>0</v>
      </c>
      <c r="AK339">
        <v>0</v>
      </c>
    </row>
    <row r="340" spans="1:37" ht="15.75" x14ac:dyDescent="0.25">
      <c r="A340" s="4">
        <v>339</v>
      </c>
      <c r="B340" s="5" t="s">
        <v>236</v>
      </c>
      <c r="C340" s="5" t="s">
        <v>48</v>
      </c>
      <c r="D340" s="5" t="s">
        <v>51</v>
      </c>
      <c r="E340" s="31">
        <v>8575</v>
      </c>
      <c r="F340" s="4" t="s">
        <v>241</v>
      </c>
      <c r="G340" s="6">
        <v>356</v>
      </c>
      <c r="H340" s="6">
        <v>356</v>
      </c>
      <c r="I340" s="6">
        <v>356</v>
      </c>
      <c r="J340" s="6">
        <v>1068</v>
      </c>
      <c r="K340" s="6">
        <v>356</v>
      </c>
      <c r="L340" s="6">
        <v>356</v>
      </c>
      <c r="M340" s="6">
        <v>356</v>
      </c>
      <c r="N340" s="6">
        <v>1068</v>
      </c>
      <c r="O340" s="6">
        <v>356</v>
      </c>
      <c r="P340" s="6">
        <v>356</v>
      </c>
      <c r="Q340" s="6">
        <v>356</v>
      </c>
      <c r="R340" s="6">
        <v>1068</v>
      </c>
      <c r="S340" s="6">
        <v>356</v>
      </c>
      <c r="T340" s="6">
        <v>356</v>
      </c>
      <c r="U340" s="6">
        <v>356</v>
      </c>
      <c r="V340" s="6">
        <v>1068</v>
      </c>
      <c r="W340" s="6">
        <v>356</v>
      </c>
      <c r="X340" s="6">
        <v>356</v>
      </c>
      <c r="Y340" s="6">
        <v>356</v>
      </c>
      <c r="Z340" s="6">
        <v>1068</v>
      </c>
      <c r="AA340" s="4">
        <v>1068</v>
      </c>
      <c r="AB340" s="25">
        <v>1780</v>
      </c>
      <c r="AC340" s="25">
        <v>1862</v>
      </c>
      <c r="AD340" s="25">
        <v>1780</v>
      </c>
      <c r="AE340">
        <v>9612</v>
      </c>
      <c r="AF340" t="s">
        <v>198</v>
      </c>
      <c r="AG340" t="s">
        <v>199</v>
      </c>
      <c r="AH340" s="33">
        <v>0.629593899928654</v>
      </c>
      <c r="AI340" s="12">
        <v>0</v>
      </c>
      <c r="AJ340">
        <v>0</v>
      </c>
      <c r="AK340">
        <v>0</v>
      </c>
    </row>
    <row r="341" spans="1:37" ht="15.75" x14ac:dyDescent="0.25">
      <c r="A341" s="4">
        <v>340</v>
      </c>
      <c r="B341" s="5" t="s">
        <v>236</v>
      </c>
      <c r="C341" s="5" t="s">
        <v>48</v>
      </c>
      <c r="D341" s="5" t="s">
        <v>52</v>
      </c>
      <c r="E341" s="31">
        <v>7866</v>
      </c>
      <c r="F341" s="4" t="s">
        <v>240</v>
      </c>
      <c r="G341" s="6">
        <v>438</v>
      </c>
      <c r="H341" s="6">
        <v>438</v>
      </c>
      <c r="I341" s="6">
        <v>438</v>
      </c>
      <c r="J341" s="6">
        <v>1314</v>
      </c>
      <c r="K341" s="6">
        <v>438</v>
      </c>
      <c r="L341" s="6">
        <v>438</v>
      </c>
      <c r="M341" s="6">
        <v>438</v>
      </c>
      <c r="N341" s="6">
        <v>1314</v>
      </c>
      <c r="O341" s="6">
        <v>438</v>
      </c>
      <c r="P341" s="6">
        <v>438</v>
      </c>
      <c r="Q341" s="6">
        <v>438</v>
      </c>
      <c r="R341" s="6">
        <v>1314</v>
      </c>
      <c r="S341" s="6">
        <v>438</v>
      </c>
      <c r="T341" s="6">
        <v>438</v>
      </c>
      <c r="U341" s="6">
        <v>438</v>
      </c>
      <c r="V341" s="6">
        <v>1314</v>
      </c>
      <c r="W341" s="6">
        <v>438</v>
      </c>
      <c r="X341" s="6">
        <v>438</v>
      </c>
      <c r="Y341" s="6">
        <v>438</v>
      </c>
      <c r="Z341" s="6">
        <v>1314</v>
      </c>
      <c r="AA341" s="4">
        <v>1314</v>
      </c>
      <c r="AB341" s="25">
        <v>2190</v>
      </c>
      <c r="AC341" s="25">
        <v>1982</v>
      </c>
      <c r="AD341" s="25">
        <v>2190</v>
      </c>
      <c r="AE341">
        <v>11826</v>
      </c>
      <c r="AF341" t="s">
        <v>198</v>
      </c>
      <c r="AG341" t="s">
        <v>198</v>
      </c>
      <c r="AH341" s="33">
        <v>0.41638334520185516</v>
      </c>
      <c r="AI341" s="12">
        <v>0</v>
      </c>
      <c r="AJ341">
        <v>1</v>
      </c>
      <c r="AK341">
        <v>0</v>
      </c>
    </row>
    <row r="342" spans="1:37" ht="15.75" x14ac:dyDescent="0.25">
      <c r="A342" s="4">
        <v>341</v>
      </c>
      <c r="B342" s="5" t="s">
        <v>236</v>
      </c>
      <c r="C342" s="5" t="s">
        <v>48</v>
      </c>
      <c r="D342" s="5" t="s">
        <v>53</v>
      </c>
      <c r="E342" s="31">
        <v>8481</v>
      </c>
      <c r="F342" s="4" t="s">
        <v>240</v>
      </c>
      <c r="G342" s="6">
        <v>230</v>
      </c>
      <c r="H342" s="6">
        <v>230</v>
      </c>
      <c r="I342" s="6">
        <v>230</v>
      </c>
      <c r="J342" s="6">
        <v>690</v>
      </c>
      <c r="K342" s="6">
        <v>230</v>
      </c>
      <c r="L342" s="6">
        <v>230</v>
      </c>
      <c r="M342" s="6">
        <v>230</v>
      </c>
      <c r="N342" s="6">
        <v>690</v>
      </c>
      <c r="O342" s="6">
        <v>230</v>
      </c>
      <c r="P342" s="6">
        <v>230</v>
      </c>
      <c r="Q342" s="6">
        <v>230</v>
      </c>
      <c r="R342" s="6">
        <v>690</v>
      </c>
      <c r="S342" s="6">
        <v>230</v>
      </c>
      <c r="T342" s="6">
        <v>230</v>
      </c>
      <c r="U342" s="6">
        <v>230</v>
      </c>
      <c r="V342" s="6">
        <v>690</v>
      </c>
      <c r="W342" s="6">
        <v>230</v>
      </c>
      <c r="X342" s="6">
        <v>230</v>
      </c>
      <c r="Y342" s="6">
        <v>230</v>
      </c>
      <c r="Z342" s="6">
        <v>690</v>
      </c>
      <c r="AA342" s="4">
        <v>690</v>
      </c>
      <c r="AB342" s="25">
        <v>1150</v>
      </c>
      <c r="AC342" s="25">
        <v>1150</v>
      </c>
      <c r="AD342" s="25">
        <v>1150</v>
      </c>
      <c r="AE342">
        <v>6210</v>
      </c>
      <c r="AF342" t="s">
        <v>199</v>
      </c>
      <c r="AG342" t="s">
        <v>198</v>
      </c>
      <c r="AH342" s="33">
        <v>0.5219642795532593</v>
      </c>
      <c r="AI342" s="12" t="e">
        <v>#N/A</v>
      </c>
      <c r="AJ342">
        <v>0</v>
      </c>
      <c r="AK342">
        <v>0</v>
      </c>
    </row>
    <row r="343" spans="1:37" ht="15.75" x14ac:dyDescent="0.25">
      <c r="A343" s="4">
        <v>342</v>
      </c>
      <c r="B343" s="5" t="s">
        <v>236</v>
      </c>
      <c r="C343" s="5" t="s">
        <v>48</v>
      </c>
      <c r="D343" s="5" t="s">
        <v>53</v>
      </c>
      <c r="E343" s="31">
        <v>8419</v>
      </c>
      <c r="F343" s="4" t="s">
        <v>240</v>
      </c>
      <c r="G343" s="6">
        <v>230</v>
      </c>
      <c r="H343" s="6">
        <v>230</v>
      </c>
      <c r="I343" s="6">
        <v>230</v>
      </c>
      <c r="J343" s="6">
        <v>690</v>
      </c>
      <c r="K343" s="6">
        <v>230</v>
      </c>
      <c r="L343" s="6">
        <v>230</v>
      </c>
      <c r="M343" s="6">
        <v>230</v>
      </c>
      <c r="N343" s="6">
        <v>690</v>
      </c>
      <c r="O343" s="6">
        <v>230</v>
      </c>
      <c r="P343" s="6">
        <v>230</v>
      </c>
      <c r="Q343" s="6">
        <v>230</v>
      </c>
      <c r="R343" s="6">
        <v>690</v>
      </c>
      <c r="S343" s="6">
        <v>230</v>
      </c>
      <c r="T343" s="6">
        <v>230</v>
      </c>
      <c r="U343" s="6">
        <v>230</v>
      </c>
      <c r="V343" s="6">
        <v>690</v>
      </c>
      <c r="W343" s="6">
        <v>230</v>
      </c>
      <c r="X343" s="6">
        <v>230</v>
      </c>
      <c r="Y343" s="6">
        <v>230</v>
      </c>
      <c r="Z343" s="6">
        <v>690</v>
      </c>
      <c r="AA343" s="4">
        <v>690</v>
      </c>
      <c r="AB343" s="25">
        <v>1150</v>
      </c>
      <c r="AC343" s="25">
        <v>4261</v>
      </c>
      <c r="AD343" s="25">
        <v>1150</v>
      </c>
      <c r="AE343">
        <v>6210</v>
      </c>
      <c r="AF343" t="s">
        <v>198</v>
      </c>
      <c r="AG343" t="s">
        <v>198</v>
      </c>
      <c r="AH343" s="33">
        <v>0.7262519863002298</v>
      </c>
      <c r="AI343" s="12">
        <v>0</v>
      </c>
      <c r="AJ343">
        <v>0</v>
      </c>
      <c r="AK343">
        <v>0</v>
      </c>
    </row>
    <row r="344" spans="1:37" ht="15.75" x14ac:dyDescent="0.25">
      <c r="A344" s="4">
        <v>343</v>
      </c>
      <c r="B344" s="29" t="s">
        <v>245</v>
      </c>
      <c r="C344" s="5" t="s">
        <v>48</v>
      </c>
      <c r="D344" s="5" t="s">
        <v>53</v>
      </c>
      <c r="E344" s="31">
        <v>718</v>
      </c>
      <c r="F344" s="4" t="s">
        <v>242</v>
      </c>
      <c r="G344" s="6">
        <v>3343</v>
      </c>
      <c r="H344" s="6">
        <v>3341</v>
      </c>
      <c r="I344" s="6">
        <v>3339</v>
      </c>
      <c r="J344" s="6">
        <v>10023</v>
      </c>
      <c r="K344" s="6">
        <v>3342</v>
      </c>
      <c r="L344" s="6">
        <v>3342</v>
      </c>
      <c r="M344" s="6">
        <v>3342</v>
      </c>
      <c r="N344" s="6">
        <v>10026</v>
      </c>
      <c r="O344" s="6">
        <v>3342</v>
      </c>
      <c r="P344" s="6">
        <v>3342</v>
      </c>
      <c r="Q344" s="6">
        <v>3342</v>
      </c>
      <c r="R344" s="6">
        <v>10026</v>
      </c>
      <c r="S344" s="6">
        <v>3342</v>
      </c>
      <c r="T344" s="6">
        <v>3342</v>
      </c>
      <c r="U344" s="6">
        <v>3342</v>
      </c>
      <c r="V344" s="6">
        <v>10026</v>
      </c>
      <c r="W344" s="6">
        <v>3338</v>
      </c>
      <c r="X344" s="6">
        <v>3343</v>
      </c>
      <c r="Y344" s="6">
        <v>3343</v>
      </c>
      <c r="Z344" s="6">
        <v>10024</v>
      </c>
      <c r="AA344" s="4">
        <v>10026</v>
      </c>
      <c r="AB344" s="25">
        <v>16705</v>
      </c>
      <c r="AC344" s="25">
        <v>13549</v>
      </c>
      <c r="AD344" s="25">
        <v>16708</v>
      </c>
      <c r="AE344">
        <v>90226</v>
      </c>
      <c r="AF344" t="s">
        <v>198</v>
      </c>
      <c r="AG344" t="s">
        <v>199</v>
      </c>
      <c r="AH344" s="33">
        <v>3.6147489089415341E-2</v>
      </c>
      <c r="AI344" s="12">
        <v>0</v>
      </c>
      <c r="AJ344">
        <v>0</v>
      </c>
      <c r="AK344">
        <v>0</v>
      </c>
    </row>
    <row r="345" spans="1:37" ht="15.75" x14ac:dyDescent="0.25">
      <c r="A345" s="4">
        <v>344</v>
      </c>
      <c r="B345" s="5" t="s">
        <v>236</v>
      </c>
      <c r="C345" s="5" t="s">
        <v>48</v>
      </c>
      <c r="D345" s="5" t="s">
        <v>53</v>
      </c>
      <c r="E345" s="31">
        <v>8366</v>
      </c>
      <c r="F345" s="4" t="s">
        <v>241</v>
      </c>
      <c r="G345" s="6">
        <v>180</v>
      </c>
      <c r="H345" s="6">
        <v>180</v>
      </c>
      <c r="I345" s="6">
        <v>180</v>
      </c>
      <c r="J345" s="6">
        <v>540</v>
      </c>
      <c r="K345" s="6">
        <v>180</v>
      </c>
      <c r="L345" s="6">
        <v>180</v>
      </c>
      <c r="M345" s="6">
        <v>180</v>
      </c>
      <c r="N345" s="6">
        <v>540</v>
      </c>
      <c r="O345" s="6">
        <v>180</v>
      </c>
      <c r="P345" s="6">
        <v>180</v>
      </c>
      <c r="Q345" s="6">
        <v>180</v>
      </c>
      <c r="R345" s="6">
        <v>540</v>
      </c>
      <c r="S345" s="6">
        <v>180</v>
      </c>
      <c r="T345" s="6">
        <v>180</v>
      </c>
      <c r="U345" s="6">
        <v>180</v>
      </c>
      <c r="V345" s="6">
        <v>540</v>
      </c>
      <c r="W345" s="6">
        <v>180</v>
      </c>
      <c r="X345" s="6">
        <v>180</v>
      </c>
      <c r="Y345" s="6">
        <v>180</v>
      </c>
      <c r="Z345" s="6">
        <v>540</v>
      </c>
      <c r="AA345" s="4">
        <v>540</v>
      </c>
      <c r="AB345" s="25">
        <v>900</v>
      </c>
      <c r="AC345" s="25">
        <v>842</v>
      </c>
      <c r="AD345" s="25">
        <v>900</v>
      </c>
      <c r="AE345">
        <v>4860</v>
      </c>
      <c r="AF345" t="s">
        <v>199</v>
      </c>
      <c r="AG345" t="s">
        <v>199</v>
      </c>
      <c r="AH345" s="33">
        <v>0.41939751792727642</v>
      </c>
      <c r="AI345" s="12">
        <v>0</v>
      </c>
      <c r="AJ345">
        <v>0</v>
      </c>
      <c r="AK345">
        <v>0</v>
      </c>
    </row>
    <row r="346" spans="1:37" ht="15.75" x14ac:dyDescent="0.25">
      <c r="A346" s="4">
        <v>345</v>
      </c>
      <c r="B346" s="5" t="s">
        <v>236</v>
      </c>
      <c r="C346" s="5" t="s">
        <v>48</v>
      </c>
      <c r="D346" s="5" t="s">
        <v>54</v>
      </c>
      <c r="E346" s="31">
        <v>7966</v>
      </c>
      <c r="F346" s="4" t="s">
        <v>241</v>
      </c>
      <c r="G346" s="6">
        <v>122</v>
      </c>
      <c r="H346" s="6">
        <v>122</v>
      </c>
      <c r="I346" s="6">
        <v>122</v>
      </c>
      <c r="J346" s="6">
        <v>366</v>
      </c>
      <c r="K346" s="6">
        <v>122</v>
      </c>
      <c r="L346" s="6">
        <v>122</v>
      </c>
      <c r="M346" s="6">
        <v>122</v>
      </c>
      <c r="N346" s="6">
        <v>366</v>
      </c>
      <c r="O346" s="6">
        <v>122</v>
      </c>
      <c r="P346" s="6">
        <v>122</v>
      </c>
      <c r="Q346" s="6">
        <v>122</v>
      </c>
      <c r="R346" s="6">
        <v>366</v>
      </c>
      <c r="S346" s="6">
        <v>122</v>
      </c>
      <c r="T346" s="6">
        <v>122</v>
      </c>
      <c r="U346" s="6">
        <v>122</v>
      </c>
      <c r="V346" s="6">
        <v>366</v>
      </c>
      <c r="W346" s="6">
        <v>122</v>
      </c>
      <c r="X346" s="6">
        <v>122</v>
      </c>
      <c r="Y346" s="6">
        <v>122</v>
      </c>
      <c r="Z346" s="6">
        <v>366</v>
      </c>
      <c r="AA346" s="4">
        <v>366</v>
      </c>
      <c r="AB346" s="25">
        <v>610</v>
      </c>
      <c r="AC346" s="25">
        <v>1104</v>
      </c>
      <c r="AD346" s="25">
        <v>610</v>
      </c>
      <c r="AE346">
        <v>3294</v>
      </c>
      <c r="AF346" t="s">
        <v>198</v>
      </c>
      <c r="AG346" t="s">
        <v>198</v>
      </c>
      <c r="AH346" s="33">
        <v>0.54423775781600869</v>
      </c>
      <c r="AI346" s="12">
        <v>2.1413378581841645E-2</v>
      </c>
      <c r="AJ346">
        <v>0</v>
      </c>
      <c r="AK346">
        <v>0</v>
      </c>
    </row>
    <row r="347" spans="1:37" x14ac:dyDescent="0.25">
      <c r="A347" s="4">
        <v>346</v>
      </c>
      <c r="B347" s="5" t="s">
        <v>236</v>
      </c>
      <c r="C347" s="5" t="s">
        <v>48</v>
      </c>
      <c r="D347" s="5" t="s">
        <v>54</v>
      </c>
      <c r="E347" s="32">
        <v>1266</v>
      </c>
      <c r="F347" s="4" t="s">
        <v>240</v>
      </c>
      <c r="G347" s="6">
        <v>621</v>
      </c>
      <c r="H347" s="6">
        <v>616</v>
      </c>
      <c r="I347" s="6">
        <v>614</v>
      </c>
      <c r="J347" s="6">
        <v>1851</v>
      </c>
      <c r="K347" s="6">
        <v>612</v>
      </c>
      <c r="L347" s="6">
        <v>611</v>
      </c>
      <c r="M347" s="6">
        <v>611</v>
      </c>
      <c r="N347" s="6">
        <v>1834</v>
      </c>
      <c r="O347" s="6">
        <v>610</v>
      </c>
      <c r="P347" s="6">
        <v>610</v>
      </c>
      <c r="Q347" s="6">
        <v>610</v>
      </c>
      <c r="R347" s="6">
        <v>1830</v>
      </c>
      <c r="S347" s="6">
        <v>610</v>
      </c>
      <c r="T347" s="6">
        <v>610</v>
      </c>
      <c r="U347" s="6">
        <v>610</v>
      </c>
      <c r="V347" s="6">
        <v>1830</v>
      </c>
      <c r="W347" s="6">
        <v>610</v>
      </c>
      <c r="X347" s="6">
        <v>608</v>
      </c>
      <c r="Y347" s="6">
        <v>605</v>
      </c>
      <c r="Z347" s="6">
        <v>1823</v>
      </c>
      <c r="AA347" s="4">
        <v>1851</v>
      </c>
      <c r="AB347" s="25">
        <v>3058</v>
      </c>
      <c r="AC347" s="25">
        <v>2944</v>
      </c>
      <c r="AD347" s="25">
        <v>3050</v>
      </c>
      <c r="AE347">
        <v>16513</v>
      </c>
      <c r="AF347" t="s">
        <v>198</v>
      </c>
      <c r="AG347" t="s">
        <v>198</v>
      </c>
      <c r="AH347" s="33">
        <v>0.95154640530872459</v>
      </c>
      <c r="AI347" s="12">
        <v>1.5550450609648348E-2</v>
      </c>
      <c r="AJ347">
        <v>0</v>
      </c>
      <c r="AK347">
        <v>0</v>
      </c>
    </row>
    <row r="348" spans="1:37" x14ac:dyDescent="0.25">
      <c r="A348" s="4">
        <v>347</v>
      </c>
      <c r="B348" s="5" t="s">
        <v>236</v>
      </c>
      <c r="C348" s="5" t="s">
        <v>48</v>
      </c>
      <c r="D348" s="5" t="s">
        <v>54</v>
      </c>
      <c r="E348" s="4">
        <v>30677</v>
      </c>
      <c r="F348" s="4" t="s">
        <v>241</v>
      </c>
      <c r="G348" s="6">
        <v>505</v>
      </c>
      <c r="H348" s="6">
        <v>505</v>
      </c>
      <c r="I348" s="6">
        <v>505</v>
      </c>
      <c r="J348" s="6">
        <v>1515</v>
      </c>
      <c r="K348" s="6">
        <v>505</v>
      </c>
      <c r="L348" s="6">
        <v>505</v>
      </c>
      <c r="M348" s="6">
        <v>505</v>
      </c>
      <c r="N348" s="6">
        <v>1515</v>
      </c>
      <c r="O348" s="6">
        <v>505</v>
      </c>
      <c r="P348" s="6">
        <v>505</v>
      </c>
      <c r="Q348" s="6">
        <v>505</v>
      </c>
      <c r="R348" s="6">
        <v>1515</v>
      </c>
      <c r="S348" s="6">
        <v>505</v>
      </c>
      <c r="T348" s="6">
        <v>505</v>
      </c>
      <c r="U348" s="6">
        <v>505</v>
      </c>
      <c r="V348" s="6">
        <v>1515</v>
      </c>
      <c r="W348" s="6">
        <v>505</v>
      </c>
      <c r="X348" s="6">
        <v>505</v>
      </c>
      <c r="Y348" s="6">
        <v>505</v>
      </c>
      <c r="Z348" s="6">
        <v>1515</v>
      </c>
      <c r="AA348" s="4">
        <v>1515</v>
      </c>
      <c r="AB348" s="25">
        <v>2525</v>
      </c>
      <c r="AC348" s="25">
        <v>2020</v>
      </c>
      <c r="AD348" s="25">
        <v>2525</v>
      </c>
      <c r="AE348">
        <v>13635</v>
      </c>
      <c r="AF348" t="s">
        <v>199</v>
      </c>
      <c r="AG348" t="s">
        <v>199</v>
      </c>
      <c r="AH348" s="33">
        <v>0.23197362192775661</v>
      </c>
      <c r="AI348" s="12">
        <v>3.2284233456020432E-2</v>
      </c>
      <c r="AJ348">
        <v>0</v>
      </c>
      <c r="AK348">
        <v>0</v>
      </c>
    </row>
  </sheetData>
  <phoneticPr fontId="9" type="noConversion"/>
  <conditionalFormatting sqref="A1">
    <cfRule type="duplicateValues" dxfId="22" priority="10"/>
    <cfRule type="duplicateValues" dxfId="21" priority="11"/>
    <cfRule type="duplicateValues" dxfId="20" priority="12"/>
    <cfRule type="duplicateValues" dxfId="19" priority="13"/>
    <cfRule type="duplicateValues" dxfId="18" priority="14"/>
    <cfRule type="duplicateValues" dxfId="17" priority="15"/>
    <cfRule type="duplicateValues" dxfId="16" priority="16"/>
    <cfRule type="duplicateValues" dxfId="15" priority="17"/>
    <cfRule type="duplicateValues" dxfId="14" priority="18"/>
    <cfRule type="duplicateValues" dxfId="13" priority="19"/>
    <cfRule type="duplicateValues" dxfId="12" priority="20"/>
    <cfRule type="duplicateValues" dxfId="11" priority="21"/>
    <cfRule type="duplicateValues" dxfId="10" priority="22"/>
  </conditionalFormatting>
  <conditionalFormatting sqref="E1">
    <cfRule type="duplicateValues" dxfId="9" priority="23"/>
    <cfRule type="duplicateValues" dxfId="8" priority="24"/>
  </conditionalFormatting>
  <conditionalFormatting sqref="E2:E285">
    <cfRule type="duplicateValues" dxfId="7" priority="4"/>
  </conditionalFormatting>
  <conditionalFormatting sqref="E221:E346">
    <cfRule type="duplicateValues" dxfId="6" priority="2"/>
    <cfRule type="duplicateValues" dxfId="5" priority="3"/>
  </conditionalFormatting>
  <conditionalFormatting sqref="E347:E348">
    <cfRule type="duplicateValues" dxfId="4" priority="1"/>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EAC964-7F08-488B-B82F-7728E9B844F7}">
  <ds:schemaRefs>
    <ds:schemaRef ds:uri="http://schemas.microsoft.com/DataMashup"/>
  </ds:schemaRefs>
</ds:datastoreItem>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Dashboard</vt:lpstr>
      <vt:lpstr>Pivot</vt:lpstr>
      <vt:lpstr>Data</vt:lpstr>
      <vt:lpstr>ToggleValue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Saurabh Kumar</dc:creator>
  <cp:lastModifiedBy>Saurabh Kumar</cp:lastModifiedBy>
  <dcterms:created xsi:type="dcterms:W3CDTF">2015-06-05T18:17:20Z</dcterms:created>
  <dcterms:modified xsi:type="dcterms:W3CDTF">2026-03-16T08:32:05Z</dcterms:modified>
</cp:coreProperties>
</file>